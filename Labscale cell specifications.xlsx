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sMolina\Documents\01_Data\"/>
    </mc:Choice>
  </mc:AlternateContent>
  <xr:revisionPtr revIDLastSave="0" documentId="13_ncr:1_{0F4FF145-3650-4022-AF26-08D8A4BC802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oin half cell-data" sheetId="1" r:id="rId1"/>
    <sheet name="Constants" sheetId="3" r:id="rId2"/>
    <sheet name="Production-St.Recip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3" i="1" l="1"/>
  <c r="J693" i="1"/>
  <c r="K693" i="1"/>
  <c r="H696" i="1"/>
  <c r="J696" i="1"/>
  <c r="K696" i="1"/>
  <c r="H695" i="1"/>
  <c r="J695" i="1" s="1"/>
  <c r="H694" i="1"/>
  <c r="J694" i="1" s="1"/>
  <c r="K694" i="1"/>
  <c r="I38" i="1"/>
  <c r="I39" i="1"/>
  <c r="H686" i="1"/>
  <c r="H687" i="1"/>
  <c r="I687" i="1" s="1"/>
  <c r="H688" i="1"/>
  <c r="I688" i="1" s="1"/>
  <c r="H689" i="1"/>
  <c r="I689" i="1" s="1"/>
  <c r="H685" i="1"/>
  <c r="J685" i="1" s="1"/>
  <c r="H692" i="1"/>
  <c r="H691" i="1"/>
  <c r="K691" i="1" s="1"/>
  <c r="H690" i="1"/>
  <c r="J69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J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J680" i="1" s="1"/>
  <c r="H681" i="1"/>
  <c r="I681" i="1" s="1"/>
  <c r="H682" i="1"/>
  <c r="K682" i="1" s="1"/>
  <c r="H683" i="1"/>
  <c r="I683" i="1" s="1"/>
  <c r="H684" i="1"/>
  <c r="I684" i="1" s="1"/>
  <c r="H660" i="1"/>
  <c r="I660" i="1" s="1"/>
  <c r="H13" i="4"/>
  <c r="G13" i="4"/>
  <c r="J672" i="1"/>
  <c r="J675" i="1"/>
  <c r="J662" i="1"/>
  <c r="H658" i="1"/>
  <c r="I658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9" i="1"/>
  <c r="I659" i="1" s="1"/>
  <c r="H641" i="1"/>
  <c r="I641" i="1" s="1"/>
  <c r="H642" i="1"/>
  <c r="I642" i="1" s="1"/>
  <c r="H643" i="1"/>
  <c r="I643" i="1" s="1"/>
  <c r="H644" i="1"/>
  <c r="I644" i="1" s="1"/>
  <c r="H640" i="1"/>
  <c r="I640" i="1" s="1"/>
  <c r="J691" i="1" l="1"/>
  <c r="J687" i="1"/>
  <c r="J689" i="1"/>
  <c r="K695" i="1"/>
  <c r="J686" i="1"/>
  <c r="I686" i="1"/>
  <c r="I670" i="1"/>
  <c r="K690" i="1"/>
  <c r="I682" i="1"/>
  <c r="J692" i="1"/>
  <c r="K692" i="1"/>
  <c r="I680" i="1"/>
  <c r="J684" i="1"/>
  <c r="I685" i="1"/>
  <c r="J640" i="1"/>
  <c r="K644" i="1"/>
  <c r="K643" i="1"/>
  <c r="K641" i="1"/>
  <c r="J649" i="1"/>
  <c r="J645" i="1"/>
  <c r="J660" i="1"/>
  <c r="J683" i="1"/>
  <c r="J681" i="1"/>
  <c r="K679" i="1"/>
  <c r="K676" i="1"/>
  <c r="J688" i="1"/>
  <c r="K689" i="1"/>
  <c r="K685" i="1"/>
  <c r="K688" i="1"/>
  <c r="K686" i="1"/>
  <c r="K683" i="1"/>
  <c r="K687" i="1"/>
  <c r="K684" i="1"/>
  <c r="K681" i="1"/>
  <c r="J682" i="1"/>
  <c r="J674" i="1"/>
  <c r="K673" i="1"/>
  <c r="J678" i="1"/>
  <c r="J671" i="1"/>
  <c r="K680" i="1"/>
  <c r="K677" i="1"/>
  <c r="J677" i="1"/>
  <c r="J673" i="1"/>
  <c r="J679" i="1"/>
  <c r="K678" i="1"/>
  <c r="K675" i="1"/>
  <c r="J676" i="1"/>
  <c r="K674" i="1"/>
  <c r="K672" i="1"/>
  <c r="K671" i="1"/>
  <c r="K663" i="1"/>
  <c r="J666" i="1"/>
  <c r="K670" i="1"/>
  <c r="K665" i="1"/>
  <c r="K669" i="1"/>
  <c r="K668" i="1"/>
  <c r="J667" i="1"/>
  <c r="K661" i="1"/>
  <c r="K664" i="1"/>
  <c r="J669" i="1"/>
  <c r="J665" i="1"/>
  <c r="J668" i="1"/>
  <c r="K666" i="1"/>
  <c r="K667" i="1"/>
  <c r="J663" i="1"/>
  <c r="J664" i="1"/>
  <c r="K662" i="1"/>
  <c r="J661" i="1"/>
  <c r="K660" i="1"/>
  <c r="K645" i="1"/>
  <c r="K647" i="1"/>
  <c r="J647" i="1"/>
  <c r="K648" i="1"/>
  <c r="J648" i="1"/>
  <c r="K649" i="1"/>
  <c r="J646" i="1"/>
  <c r="K646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K657" i="1"/>
  <c r="J657" i="1"/>
  <c r="J658" i="1"/>
  <c r="K658" i="1"/>
  <c r="J659" i="1"/>
  <c r="K659" i="1"/>
  <c r="K642" i="1"/>
  <c r="J642" i="1"/>
  <c r="J643" i="1"/>
  <c r="J641" i="1"/>
  <c r="J644" i="1"/>
  <c r="K640" i="1"/>
  <c r="H639" i="1" l="1"/>
  <c r="I639" i="1" s="1"/>
  <c r="H638" i="1"/>
  <c r="I638" i="1" s="1"/>
  <c r="H637" i="1"/>
  <c r="I637" i="1" s="1"/>
  <c r="H636" i="1"/>
  <c r="I636" i="1" s="1"/>
  <c r="H635" i="1"/>
  <c r="I635" i="1" s="1"/>
  <c r="H631" i="1"/>
  <c r="I631" i="1" s="1"/>
  <c r="H632" i="1"/>
  <c r="I632" i="1" s="1"/>
  <c r="H633" i="1"/>
  <c r="I633" i="1" s="1"/>
  <c r="H634" i="1"/>
  <c r="I634" i="1" s="1"/>
  <c r="H630" i="1"/>
  <c r="I630" i="1" s="1"/>
  <c r="H627" i="1"/>
  <c r="I627" i="1" s="1"/>
  <c r="H628" i="1"/>
  <c r="I628" i="1" s="1"/>
  <c r="H629" i="1"/>
  <c r="I629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J611" i="1"/>
  <c r="K611" i="1"/>
  <c r="J610" i="1"/>
  <c r="K610" i="1"/>
  <c r="J609" i="1"/>
  <c r="K609" i="1"/>
  <c r="J608" i="1"/>
  <c r="K608" i="1"/>
  <c r="J607" i="1"/>
  <c r="K607" i="1"/>
  <c r="H606" i="1"/>
  <c r="I606" i="1" s="1"/>
  <c r="H605" i="1"/>
  <c r="I605" i="1" s="1"/>
  <c r="H604" i="1"/>
  <c r="I604" i="1" s="1"/>
  <c r="H603" i="1"/>
  <c r="I603" i="1" s="1"/>
  <c r="J602" i="1"/>
  <c r="K602" i="1"/>
  <c r="J601" i="1"/>
  <c r="K601" i="1"/>
  <c r="J600" i="1"/>
  <c r="K600" i="1"/>
  <c r="J599" i="1"/>
  <c r="K599" i="1"/>
  <c r="J598" i="1"/>
  <c r="K598" i="1"/>
  <c r="J597" i="1"/>
  <c r="K597" i="1"/>
  <c r="H592" i="1"/>
  <c r="I592" i="1" s="1"/>
  <c r="H593" i="1"/>
  <c r="I593" i="1" s="1"/>
  <c r="H594" i="1"/>
  <c r="I594" i="1" s="1"/>
  <c r="H595" i="1"/>
  <c r="I595" i="1" s="1"/>
  <c r="H596" i="1"/>
  <c r="I596" i="1" s="1"/>
  <c r="H587" i="1"/>
  <c r="I587" i="1" s="1"/>
  <c r="H588" i="1"/>
  <c r="I588" i="1" s="1"/>
  <c r="H589" i="1"/>
  <c r="I589" i="1" s="1"/>
  <c r="H590" i="1"/>
  <c r="I590" i="1" s="1"/>
  <c r="H591" i="1"/>
  <c r="I591" i="1" s="1"/>
  <c r="H582" i="1"/>
  <c r="I582" i="1" s="1"/>
  <c r="H583" i="1"/>
  <c r="I583" i="1" s="1"/>
  <c r="H584" i="1"/>
  <c r="I584" i="1" s="1"/>
  <c r="H585" i="1"/>
  <c r="I585" i="1" s="1"/>
  <c r="H586" i="1"/>
  <c r="I586" i="1" s="1"/>
  <c r="H581" i="1"/>
  <c r="I581" i="1" s="1"/>
  <c r="H580" i="1"/>
  <c r="I580" i="1" s="1"/>
  <c r="H579" i="1"/>
  <c r="I579" i="1" s="1"/>
  <c r="H578" i="1"/>
  <c r="I578" i="1" s="1"/>
  <c r="H577" i="1"/>
  <c r="I577" i="1" s="1"/>
  <c r="H573" i="1"/>
  <c r="I573" i="1" s="1"/>
  <c r="H576" i="1"/>
  <c r="I576" i="1" s="1"/>
  <c r="H575" i="1"/>
  <c r="I575" i="1" s="1"/>
  <c r="H574" i="1"/>
  <c r="I574" i="1" s="1"/>
  <c r="H569" i="1"/>
  <c r="I569" i="1" s="1"/>
  <c r="H570" i="1"/>
  <c r="I570" i="1" s="1"/>
  <c r="H571" i="1"/>
  <c r="I571" i="1" s="1"/>
  <c r="H572" i="1"/>
  <c r="I572" i="1" s="1"/>
  <c r="H568" i="1"/>
  <c r="I568" i="1" s="1"/>
  <c r="H566" i="1"/>
  <c r="I566" i="1" s="1"/>
  <c r="H567" i="1"/>
  <c r="I56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57" i="1"/>
  <c r="I557" i="1" s="1"/>
  <c r="H556" i="1"/>
  <c r="I556" i="1" s="1"/>
  <c r="H555" i="1"/>
  <c r="I555" i="1" s="1"/>
  <c r="H554" i="1"/>
  <c r="I554" i="1" s="1"/>
  <c r="H553" i="1"/>
  <c r="I553" i="1" s="1"/>
  <c r="H552" i="1"/>
  <c r="I552" i="1" s="1"/>
  <c r="H551" i="1"/>
  <c r="I551" i="1" s="1"/>
  <c r="H550" i="1"/>
  <c r="I550" i="1" s="1"/>
  <c r="H549" i="1"/>
  <c r="I549" i="1" s="1"/>
  <c r="H548" i="1"/>
  <c r="I548" i="1" s="1"/>
  <c r="H547" i="1"/>
  <c r="I547" i="1" s="1"/>
  <c r="H546" i="1"/>
  <c r="I546" i="1" s="1"/>
  <c r="H545" i="1"/>
  <c r="I545" i="1" s="1"/>
  <c r="H544" i="1"/>
  <c r="I544" i="1" s="1"/>
  <c r="H543" i="1"/>
  <c r="I543" i="1" s="1"/>
  <c r="H542" i="1"/>
  <c r="I542" i="1" s="1"/>
  <c r="H541" i="1"/>
  <c r="I541" i="1" s="1"/>
  <c r="H540" i="1"/>
  <c r="I540" i="1" s="1"/>
  <c r="H539" i="1"/>
  <c r="I539" i="1" s="1"/>
  <c r="H538" i="1"/>
  <c r="I538" i="1" s="1"/>
  <c r="H537" i="1"/>
  <c r="I537" i="1" s="1"/>
  <c r="H536" i="1"/>
  <c r="I536" i="1" s="1"/>
  <c r="H535" i="1"/>
  <c r="I535" i="1" s="1"/>
  <c r="H534" i="1"/>
  <c r="I534" i="1" s="1"/>
  <c r="H533" i="1"/>
  <c r="I533" i="1" s="1"/>
  <c r="H532" i="1"/>
  <c r="I532" i="1" s="1"/>
  <c r="H531" i="1"/>
  <c r="I531" i="1" s="1"/>
  <c r="H530" i="1"/>
  <c r="I530" i="1" s="1"/>
  <c r="H529" i="1"/>
  <c r="I529" i="1" s="1"/>
  <c r="H528" i="1"/>
  <c r="I528" i="1" s="1"/>
  <c r="H527" i="1"/>
  <c r="I527" i="1" s="1"/>
  <c r="H526" i="1"/>
  <c r="I526" i="1" s="1"/>
  <c r="H525" i="1"/>
  <c r="I525" i="1" s="1"/>
  <c r="H524" i="1"/>
  <c r="I524" i="1" s="1"/>
  <c r="H523" i="1"/>
  <c r="I523" i="1" s="1"/>
  <c r="K615" i="1" l="1"/>
  <c r="J615" i="1"/>
  <c r="J588" i="1"/>
  <c r="K556" i="1"/>
  <c r="J580" i="1"/>
  <c r="J596" i="1"/>
  <c r="J623" i="1"/>
  <c r="K581" i="1"/>
  <c r="J595" i="1"/>
  <c r="J554" i="1"/>
  <c r="K625" i="1"/>
  <c r="J555" i="1"/>
  <c r="K624" i="1"/>
  <c r="J627" i="1"/>
  <c r="J619" i="1"/>
  <c r="J603" i="1"/>
  <c r="J618" i="1"/>
  <c r="J586" i="1"/>
  <c r="J585" i="1"/>
  <c r="J620" i="1"/>
  <c r="J548" i="1"/>
  <c r="J584" i="1"/>
  <c r="K583" i="1"/>
  <c r="J526" i="1"/>
  <c r="J561" i="1"/>
  <c r="K617" i="1"/>
  <c r="K578" i="1"/>
  <c r="K638" i="1"/>
  <c r="J571" i="1"/>
  <c r="K592" i="1"/>
  <c r="J549" i="1"/>
  <c r="K575" i="1"/>
  <c r="K527" i="1"/>
  <c r="J551" i="1"/>
  <c r="J591" i="1"/>
  <c r="J605" i="1"/>
  <c r="K616" i="1"/>
  <c r="J524" i="1"/>
  <c r="J569" i="1"/>
  <c r="J582" i="1"/>
  <c r="J560" i="1"/>
  <c r="J552" i="1"/>
  <c r="J590" i="1"/>
  <c r="J635" i="1"/>
  <c r="K565" i="1"/>
  <c r="K523" i="1"/>
  <c r="J570" i="1"/>
  <c r="J630" i="1"/>
  <c r="J553" i="1"/>
  <c r="J636" i="1"/>
  <c r="J579" i="1"/>
  <c r="K577" i="1"/>
  <c r="J577" i="1"/>
  <c r="J564" i="1"/>
  <c r="K639" i="1"/>
  <c r="J639" i="1"/>
  <c r="K604" i="1"/>
  <c r="K637" i="1"/>
  <c r="J637" i="1"/>
  <c r="J638" i="1"/>
  <c r="J629" i="1"/>
  <c r="K635" i="1"/>
  <c r="J616" i="1"/>
  <c r="J617" i="1"/>
  <c r="K630" i="1"/>
  <c r="K636" i="1"/>
  <c r="K614" i="1"/>
  <c r="K572" i="1"/>
  <c r="K626" i="1"/>
  <c r="K629" i="1"/>
  <c r="J604" i="1"/>
  <c r="J626" i="1"/>
  <c r="J625" i="1"/>
  <c r="J614" i="1"/>
  <c r="J634" i="1"/>
  <c r="K634" i="1"/>
  <c r="J633" i="1"/>
  <c r="K633" i="1"/>
  <c r="J632" i="1"/>
  <c r="K632" i="1"/>
  <c r="J631" i="1"/>
  <c r="K631" i="1"/>
  <c r="J628" i="1"/>
  <c r="K628" i="1"/>
  <c r="K627" i="1"/>
  <c r="K587" i="1"/>
  <c r="J574" i="1"/>
  <c r="J624" i="1"/>
  <c r="K612" i="1"/>
  <c r="J612" i="1"/>
  <c r="K623" i="1"/>
  <c r="K613" i="1"/>
  <c r="J613" i="1"/>
  <c r="K622" i="1"/>
  <c r="K621" i="1"/>
  <c r="K620" i="1"/>
  <c r="K618" i="1"/>
  <c r="J621" i="1"/>
  <c r="K619" i="1"/>
  <c r="J622" i="1"/>
  <c r="K594" i="1"/>
  <c r="K605" i="1"/>
  <c r="J594" i="1"/>
  <c r="J592" i="1"/>
  <c r="K603" i="1"/>
  <c r="K606" i="1"/>
  <c r="J606" i="1"/>
  <c r="K579" i="1"/>
  <c r="K593" i="1"/>
  <c r="J593" i="1"/>
  <c r="K588" i="1"/>
  <c r="K586" i="1"/>
  <c r="K582" i="1"/>
  <c r="K596" i="1"/>
  <c r="K590" i="1"/>
  <c r="K595" i="1"/>
  <c r="K589" i="1"/>
  <c r="J587" i="1"/>
  <c r="J576" i="1"/>
  <c r="K580" i="1"/>
  <c r="J589" i="1"/>
  <c r="K568" i="1"/>
  <c r="K591" i="1"/>
  <c r="K573" i="1"/>
  <c r="J581" i="1"/>
  <c r="K584" i="1"/>
  <c r="J583" i="1"/>
  <c r="J573" i="1"/>
  <c r="J578" i="1"/>
  <c r="J575" i="1"/>
  <c r="K570" i="1"/>
  <c r="K576" i="1"/>
  <c r="K585" i="1"/>
  <c r="K571" i="1"/>
  <c r="K574" i="1"/>
  <c r="J572" i="1"/>
  <c r="K569" i="1"/>
  <c r="J568" i="1"/>
  <c r="K558" i="1"/>
  <c r="K564" i="1"/>
  <c r="K563" i="1"/>
  <c r="K567" i="1"/>
  <c r="J567" i="1"/>
  <c r="K566" i="1"/>
  <c r="J566" i="1"/>
  <c r="J558" i="1"/>
  <c r="K562" i="1"/>
  <c r="K561" i="1"/>
  <c r="K560" i="1"/>
  <c r="J559" i="1"/>
  <c r="K559" i="1"/>
  <c r="J565" i="1"/>
  <c r="J563" i="1"/>
  <c r="J562" i="1"/>
  <c r="K557" i="1"/>
  <c r="J557" i="1"/>
  <c r="J556" i="1"/>
  <c r="K555" i="1"/>
  <c r="K554" i="1"/>
  <c r="K550" i="1"/>
  <c r="J550" i="1"/>
  <c r="K553" i="1"/>
  <c r="K549" i="1"/>
  <c r="K552" i="1"/>
  <c r="K551" i="1"/>
  <c r="J527" i="1"/>
  <c r="K531" i="1"/>
  <c r="K534" i="1"/>
  <c r="K537" i="1"/>
  <c r="K540" i="1"/>
  <c r="K543" i="1"/>
  <c r="K546" i="1"/>
  <c r="J531" i="1"/>
  <c r="J534" i="1"/>
  <c r="J537" i="1"/>
  <c r="J540" i="1"/>
  <c r="J543" i="1"/>
  <c r="J546" i="1"/>
  <c r="K529" i="1"/>
  <c r="K532" i="1"/>
  <c r="K535" i="1"/>
  <c r="K538" i="1"/>
  <c r="K541" i="1"/>
  <c r="K544" i="1"/>
  <c r="K547" i="1"/>
  <c r="J529" i="1"/>
  <c r="J532" i="1"/>
  <c r="J535" i="1"/>
  <c r="J538" i="1"/>
  <c r="J541" i="1"/>
  <c r="J544" i="1"/>
  <c r="J547" i="1"/>
  <c r="K548" i="1"/>
  <c r="K530" i="1"/>
  <c r="K533" i="1"/>
  <c r="K536" i="1"/>
  <c r="K539" i="1"/>
  <c r="K542" i="1"/>
  <c r="K545" i="1"/>
  <c r="J530" i="1"/>
  <c r="J536" i="1"/>
  <c r="J539" i="1"/>
  <c r="J542" i="1"/>
  <c r="J545" i="1"/>
  <c r="J533" i="1"/>
  <c r="J528" i="1"/>
  <c r="K528" i="1"/>
  <c r="J525" i="1"/>
  <c r="K525" i="1"/>
  <c r="K526" i="1"/>
  <c r="K524" i="1"/>
  <c r="J523" i="1"/>
  <c r="H522" i="1"/>
  <c r="I522" i="1" s="1"/>
  <c r="H521" i="1"/>
  <c r="I521" i="1" s="1"/>
  <c r="H520" i="1"/>
  <c r="I520" i="1" s="1"/>
  <c r="H519" i="1"/>
  <c r="I519" i="1" s="1"/>
  <c r="H518" i="1"/>
  <c r="I518" i="1" s="1"/>
  <c r="H517" i="1"/>
  <c r="I517" i="1" s="1"/>
  <c r="H516" i="1"/>
  <c r="I516" i="1" s="1"/>
  <c r="H515" i="1"/>
  <c r="I515" i="1" s="1"/>
  <c r="H514" i="1"/>
  <c r="I514" i="1" s="1"/>
  <c r="H513" i="1"/>
  <c r="I513" i="1" s="1"/>
  <c r="H509" i="1"/>
  <c r="I509" i="1" s="1"/>
  <c r="H510" i="1"/>
  <c r="I510" i="1" s="1"/>
  <c r="H511" i="1"/>
  <c r="I511" i="1" s="1"/>
  <c r="H512" i="1"/>
  <c r="I512" i="1" s="1"/>
  <c r="H508" i="1"/>
  <c r="I508" i="1" s="1"/>
  <c r="H507" i="1"/>
  <c r="I507" i="1" s="1"/>
  <c r="H506" i="1"/>
  <c r="I506" i="1" s="1"/>
  <c r="H505" i="1"/>
  <c r="I505" i="1" s="1"/>
  <c r="H504" i="1"/>
  <c r="I504" i="1" s="1"/>
  <c r="H503" i="1"/>
  <c r="I503" i="1" s="1"/>
  <c r="H502" i="1"/>
  <c r="I502" i="1" s="1"/>
  <c r="H501" i="1"/>
  <c r="I501" i="1" s="1"/>
  <c r="H500" i="1"/>
  <c r="I500" i="1" s="1"/>
  <c r="H499" i="1"/>
  <c r="I499" i="1" s="1"/>
  <c r="H498" i="1"/>
  <c r="I498" i="1" s="1"/>
  <c r="H497" i="1"/>
  <c r="I497" i="1" s="1"/>
  <c r="H496" i="1"/>
  <c r="I496" i="1" s="1"/>
  <c r="H495" i="1"/>
  <c r="I495" i="1" s="1"/>
  <c r="H494" i="1"/>
  <c r="I494" i="1" s="1"/>
  <c r="H493" i="1"/>
  <c r="I493" i="1" s="1"/>
  <c r="H492" i="1"/>
  <c r="I492" i="1" s="1"/>
  <c r="H491" i="1"/>
  <c r="I491" i="1" s="1"/>
  <c r="H490" i="1"/>
  <c r="I490" i="1" s="1"/>
  <c r="J491" i="1" l="1"/>
  <c r="J494" i="1"/>
  <c r="J506" i="1"/>
  <c r="J508" i="1"/>
  <c r="K497" i="1"/>
  <c r="K498" i="1"/>
  <c r="J509" i="1"/>
  <c r="K510" i="1"/>
  <c r="K500" i="1"/>
  <c r="J501" i="1"/>
  <c r="J513" i="1"/>
  <c r="J496" i="1"/>
  <c r="J512" i="1"/>
  <c r="J522" i="1"/>
  <c r="J499" i="1"/>
  <c r="J490" i="1"/>
  <c r="J502" i="1"/>
  <c r="J514" i="1"/>
  <c r="J519" i="1"/>
  <c r="J503" i="1"/>
  <c r="K516" i="1"/>
  <c r="J515" i="1"/>
  <c r="J492" i="1"/>
  <c r="J504" i="1"/>
  <c r="K493" i="1"/>
  <c r="J505" i="1"/>
  <c r="J517" i="1"/>
  <c r="J521" i="1"/>
  <c r="K521" i="1"/>
  <c r="J520" i="1"/>
  <c r="K520" i="1"/>
  <c r="K518" i="1"/>
  <c r="J518" i="1"/>
  <c r="K519" i="1"/>
  <c r="K522" i="1"/>
  <c r="K513" i="1"/>
  <c r="K517" i="1"/>
  <c r="J516" i="1"/>
  <c r="K514" i="1"/>
  <c r="K515" i="1"/>
  <c r="K512" i="1"/>
  <c r="J511" i="1"/>
  <c r="K511" i="1"/>
  <c r="J510" i="1"/>
  <c r="K509" i="1"/>
  <c r="K508" i="1"/>
  <c r="J507" i="1"/>
  <c r="K507" i="1"/>
  <c r="K506" i="1"/>
  <c r="K505" i="1"/>
  <c r="J500" i="1"/>
  <c r="K503" i="1"/>
  <c r="K504" i="1"/>
  <c r="K502" i="1"/>
  <c r="K501" i="1"/>
  <c r="J498" i="1"/>
  <c r="K499" i="1"/>
  <c r="J497" i="1"/>
  <c r="K496" i="1"/>
  <c r="J495" i="1"/>
  <c r="K495" i="1"/>
  <c r="K494" i="1"/>
  <c r="J493" i="1"/>
  <c r="K492" i="1"/>
  <c r="K491" i="1"/>
  <c r="K490" i="1"/>
  <c r="H75" i="1"/>
  <c r="I75" i="1" s="1"/>
  <c r="H2" i="1"/>
  <c r="I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K38" i="1" s="1"/>
  <c r="H39" i="1"/>
  <c r="J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C3" i="3"/>
  <c r="C2" i="3"/>
  <c r="E2" i="4"/>
  <c r="H9" i="4" s="1"/>
  <c r="D5" i="3"/>
  <c r="C5" i="3"/>
  <c r="D4" i="3"/>
  <c r="C4" i="3"/>
  <c r="D3" i="3"/>
  <c r="D2" i="3"/>
  <c r="J315" i="1" l="1"/>
  <c r="J231" i="1"/>
  <c r="K74" i="1"/>
  <c r="J410" i="1"/>
  <c r="K374" i="1"/>
  <c r="J146" i="1"/>
  <c r="J481" i="1"/>
  <c r="J337" i="1"/>
  <c r="K277" i="1"/>
  <c r="K97" i="1"/>
  <c r="J48" i="1"/>
  <c r="J476" i="1"/>
  <c r="J403" i="1"/>
  <c r="J472" i="1"/>
  <c r="J448" i="1"/>
  <c r="J412" i="1"/>
  <c r="J340" i="1"/>
  <c r="J304" i="1"/>
  <c r="K280" i="1"/>
  <c r="K244" i="1"/>
  <c r="K208" i="1"/>
  <c r="K172" i="1"/>
  <c r="K136" i="1"/>
  <c r="K124" i="1"/>
  <c r="K100" i="1"/>
  <c r="K76" i="1"/>
  <c r="K27" i="1"/>
  <c r="J15" i="1"/>
  <c r="J266" i="1"/>
  <c r="K170" i="1"/>
  <c r="K241" i="1"/>
  <c r="J60" i="1"/>
  <c r="J36" i="1"/>
  <c r="K264" i="1"/>
  <c r="K252" i="1"/>
  <c r="K228" i="1"/>
  <c r="J180" i="1"/>
  <c r="K144" i="1"/>
  <c r="K132" i="1"/>
  <c r="J108" i="1"/>
  <c r="K71" i="1"/>
  <c r="K59" i="1"/>
  <c r="K47" i="1"/>
  <c r="K23" i="1"/>
  <c r="K11" i="1"/>
  <c r="K423" i="1"/>
  <c r="J195" i="1"/>
  <c r="J37" i="1"/>
  <c r="J263" i="1"/>
  <c r="K155" i="1"/>
  <c r="J107" i="1"/>
  <c r="J70" i="1"/>
  <c r="K58" i="1"/>
  <c r="K34" i="1"/>
  <c r="K22" i="1"/>
  <c r="K10" i="1"/>
  <c r="J26" i="1"/>
  <c r="J254" i="1"/>
  <c r="K182" i="1"/>
  <c r="K325" i="1"/>
  <c r="K468" i="1"/>
  <c r="K360" i="1"/>
  <c r="K276" i="1"/>
  <c r="J407" i="1"/>
  <c r="K347" i="1"/>
  <c r="K323" i="1"/>
  <c r="J299" i="1"/>
  <c r="K179" i="1"/>
  <c r="J478" i="1"/>
  <c r="J442" i="1"/>
  <c r="J430" i="1"/>
  <c r="J394" i="1"/>
  <c r="K322" i="1"/>
  <c r="K298" i="1"/>
  <c r="K274" i="1"/>
  <c r="K226" i="1"/>
  <c r="K214" i="1"/>
  <c r="K202" i="1"/>
  <c r="K190" i="1"/>
  <c r="K178" i="1"/>
  <c r="K166" i="1"/>
  <c r="J142" i="1"/>
  <c r="K130" i="1"/>
  <c r="J118" i="1"/>
  <c r="K106" i="1"/>
  <c r="K94" i="1"/>
  <c r="K82" i="1"/>
  <c r="J69" i="1"/>
  <c r="K57" i="1"/>
  <c r="J33" i="1"/>
  <c r="J243" i="1"/>
  <c r="K159" i="1"/>
  <c r="K111" i="1"/>
  <c r="K482" i="1"/>
  <c r="J446" i="1"/>
  <c r="J290" i="1"/>
  <c r="J218" i="1"/>
  <c r="K13" i="1"/>
  <c r="J361" i="1"/>
  <c r="K229" i="1"/>
  <c r="K372" i="1"/>
  <c r="K348" i="1"/>
  <c r="J287" i="1"/>
  <c r="K227" i="1"/>
  <c r="K167" i="1"/>
  <c r="K131" i="1"/>
  <c r="J489" i="1"/>
  <c r="J477" i="1"/>
  <c r="J453" i="1"/>
  <c r="J441" i="1"/>
  <c r="K429" i="1"/>
  <c r="K417" i="1"/>
  <c r="J381" i="1"/>
  <c r="J369" i="1"/>
  <c r="K357" i="1"/>
  <c r="J321" i="1"/>
  <c r="J297" i="1"/>
  <c r="K285" i="1"/>
  <c r="J261" i="1"/>
  <c r="K237" i="1"/>
  <c r="J225" i="1"/>
  <c r="K201" i="1"/>
  <c r="J189" i="1"/>
  <c r="K177" i="1"/>
  <c r="K165" i="1"/>
  <c r="J153" i="1"/>
  <c r="J129" i="1"/>
  <c r="J105" i="1"/>
  <c r="J93" i="1"/>
  <c r="J68" i="1"/>
  <c r="K56" i="1"/>
  <c r="J32" i="1"/>
  <c r="J20" i="1"/>
  <c r="J207" i="1"/>
  <c r="J338" i="1"/>
  <c r="K242" i="1"/>
  <c r="J385" i="1"/>
  <c r="K121" i="1"/>
  <c r="J440" i="1"/>
  <c r="J428" i="1"/>
  <c r="J392" i="1"/>
  <c r="J368" i="1"/>
  <c r="K332" i="1"/>
  <c r="J260" i="1"/>
  <c r="J224" i="1"/>
  <c r="K200" i="1"/>
  <c r="K188" i="1"/>
  <c r="J176" i="1"/>
  <c r="K164" i="1"/>
  <c r="K152" i="1"/>
  <c r="J140" i="1"/>
  <c r="K128" i="1"/>
  <c r="J104" i="1"/>
  <c r="K92" i="1"/>
  <c r="K80" i="1"/>
  <c r="K55" i="1"/>
  <c r="J43" i="1"/>
  <c r="K31" i="1"/>
  <c r="K19" i="1"/>
  <c r="K7" i="1"/>
  <c r="K422" i="1"/>
  <c r="J326" i="1"/>
  <c r="K230" i="1"/>
  <c r="J253" i="1"/>
  <c r="K133" i="1"/>
  <c r="J355" i="1"/>
  <c r="K319" i="1"/>
  <c r="K307" i="1"/>
  <c r="K271" i="1"/>
  <c r="J247" i="1"/>
  <c r="K235" i="1"/>
  <c r="K223" i="1"/>
  <c r="K199" i="1"/>
  <c r="K175" i="1"/>
  <c r="K151" i="1"/>
  <c r="J139" i="1"/>
  <c r="J127" i="1"/>
  <c r="K115" i="1"/>
  <c r="K103" i="1"/>
  <c r="K91" i="1"/>
  <c r="K79" i="1"/>
  <c r="K54" i="1"/>
  <c r="K399" i="1"/>
  <c r="K219" i="1"/>
  <c r="J123" i="1"/>
  <c r="J50" i="1"/>
  <c r="K458" i="1"/>
  <c r="K110" i="1"/>
  <c r="J373" i="1"/>
  <c r="J301" i="1"/>
  <c r="K426" i="1"/>
  <c r="K354" i="1"/>
  <c r="J330" i="1"/>
  <c r="K306" i="1"/>
  <c r="J270" i="1"/>
  <c r="J246" i="1"/>
  <c r="K222" i="1"/>
  <c r="K198" i="1"/>
  <c r="J174" i="1"/>
  <c r="K150" i="1"/>
  <c r="K114" i="1"/>
  <c r="K78" i="1"/>
  <c r="J53" i="1"/>
  <c r="K41" i="1"/>
  <c r="K29" i="1"/>
  <c r="J17" i="1"/>
  <c r="J255" i="1"/>
  <c r="K171" i="1"/>
  <c r="K87" i="1"/>
  <c r="J427" i="1"/>
  <c r="J331" i="1"/>
  <c r="K462" i="1"/>
  <c r="K390" i="1"/>
  <c r="K378" i="1"/>
  <c r="K186" i="1"/>
  <c r="K485" i="1"/>
  <c r="K449" i="1"/>
  <c r="J413" i="1"/>
  <c r="J401" i="1"/>
  <c r="K377" i="1"/>
  <c r="K329" i="1"/>
  <c r="K317" i="1"/>
  <c r="J293" i="1"/>
  <c r="K233" i="1"/>
  <c r="K221" i="1"/>
  <c r="K209" i="1"/>
  <c r="K185" i="1"/>
  <c r="J113" i="1"/>
  <c r="K77" i="1"/>
  <c r="J40" i="1"/>
  <c r="J28" i="1"/>
  <c r="K16" i="1"/>
  <c r="P491" i="1"/>
  <c r="P490" i="1"/>
  <c r="O490" i="1"/>
  <c r="P496" i="1"/>
  <c r="O496" i="1"/>
  <c r="P492" i="1"/>
  <c r="P497" i="1"/>
  <c r="P498" i="1"/>
  <c r="P499" i="1"/>
  <c r="P494" i="1"/>
  <c r="P493" i="1"/>
  <c r="P500" i="1"/>
  <c r="P501" i="1"/>
  <c r="P502" i="1"/>
  <c r="O502" i="1"/>
  <c r="P495" i="1"/>
  <c r="E5" i="4"/>
  <c r="D5" i="4" s="1"/>
  <c r="J136" i="1"/>
  <c r="K51" i="1"/>
  <c r="J159" i="1"/>
  <c r="K146" i="1"/>
  <c r="K123" i="1"/>
  <c r="K26" i="1"/>
  <c r="K39" i="1"/>
  <c r="K338" i="1"/>
  <c r="K28" i="1"/>
  <c r="J51" i="1"/>
  <c r="J137" i="1"/>
  <c r="J269" i="1"/>
  <c r="K446" i="1"/>
  <c r="K350" i="1"/>
  <c r="J172" i="1"/>
  <c r="J245" i="1"/>
  <c r="J29" i="1"/>
  <c r="J364" i="1"/>
  <c r="J398" i="1"/>
  <c r="J126" i="1"/>
  <c r="K126" i="1"/>
  <c r="J278" i="1"/>
  <c r="K292" i="1"/>
  <c r="K113" i="1"/>
  <c r="J377" i="1"/>
  <c r="J365" i="1"/>
  <c r="K64" i="1"/>
  <c r="J362" i="1"/>
  <c r="K365" i="1"/>
  <c r="K273" i="1"/>
  <c r="K477" i="1"/>
  <c r="K174" i="1"/>
  <c r="J329" i="1"/>
  <c r="K413" i="1"/>
  <c r="J237" i="1"/>
  <c r="J64" i="1"/>
  <c r="J333" i="1"/>
  <c r="J341" i="1"/>
  <c r="J208" i="1"/>
  <c r="K5" i="1"/>
  <c r="J41" i="1"/>
  <c r="K149" i="1"/>
  <c r="J376" i="1"/>
  <c r="J110" i="1"/>
  <c r="J233" i="1"/>
  <c r="J5" i="1"/>
  <c r="J76" i="1"/>
  <c r="J149" i="1"/>
  <c r="K137" i="1"/>
  <c r="J256" i="1"/>
  <c r="J244" i="1"/>
  <c r="K4" i="1"/>
  <c r="K341" i="1"/>
  <c r="J16" i="1"/>
  <c r="J209" i="1"/>
  <c r="K256" i="1"/>
  <c r="J305" i="1"/>
  <c r="K267" i="1"/>
  <c r="J77" i="1"/>
  <c r="J100" i="1"/>
  <c r="K195" i="1"/>
  <c r="J54" i="1"/>
  <c r="J423" i="1"/>
  <c r="K234" i="1"/>
  <c r="J267" i="1"/>
  <c r="J219" i="1"/>
  <c r="J234" i="1"/>
  <c r="K3" i="1"/>
  <c r="J187" i="1"/>
  <c r="K330" i="1"/>
  <c r="J186" i="1"/>
  <c r="K270" i="1"/>
  <c r="J390" i="1"/>
  <c r="J188" i="1"/>
  <c r="J399" i="1"/>
  <c r="J87" i="1"/>
  <c r="J342" i="1"/>
  <c r="J242" i="1"/>
  <c r="J3" i="1"/>
  <c r="K98" i="1"/>
  <c r="J98" i="1"/>
  <c r="K134" i="1"/>
  <c r="J134" i="1"/>
  <c r="J182" i="1"/>
  <c r="K218" i="1"/>
  <c r="J482" i="1"/>
  <c r="J31" i="1"/>
  <c r="K135" i="1"/>
  <c r="K62" i="1"/>
  <c r="J62" i="1"/>
  <c r="J170" i="1"/>
  <c r="K206" i="1"/>
  <c r="J302" i="1"/>
  <c r="J206" i="1"/>
  <c r="K386" i="1"/>
  <c r="J199" i="1"/>
  <c r="K75" i="1"/>
  <c r="J75" i="1"/>
  <c r="K147" i="1"/>
  <c r="J147" i="1"/>
  <c r="J171" i="1"/>
  <c r="J183" i="1"/>
  <c r="K231" i="1"/>
  <c r="K327" i="1"/>
  <c r="K363" i="1"/>
  <c r="J363" i="1"/>
  <c r="J387" i="1"/>
  <c r="K435" i="1"/>
  <c r="J435" i="1"/>
  <c r="K471" i="1"/>
  <c r="K15" i="1"/>
  <c r="J74" i="1"/>
  <c r="K315" i="1"/>
  <c r="K387" i="1"/>
  <c r="J458" i="1"/>
  <c r="J19" i="1"/>
  <c r="K207" i="1"/>
  <c r="J230" i="1"/>
  <c r="J135" i="1"/>
  <c r="J111" i="1"/>
  <c r="K183" i="1"/>
  <c r="J327" i="1"/>
  <c r="J350" i="1"/>
  <c r="J485" i="1"/>
  <c r="K286" i="1"/>
  <c r="J286" i="1"/>
  <c r="J91" i="1"/>
  <c r="K141" i="1"/>
  <c r="J150" i="1"/>
  <c r="J59" i="1"/>
  <c r="J348" i="1"/>
  <c r="J214" i="1"/>
  <c r="K331" i="1"/>
  <c r="K225" i="1"/>
  <c r="J165" i="1"/>
  <c r="K247" i="1"/>
  <c r="K142" i="1"/>
  <c r="K321" i="1"/>
  <c r="J201" i="1"/>
  <c r="J320" i="1"/>
  <c r="K428" i="1"/>
  <c r="K205" i="1"/>
  <c r="J85" i="1"/>
  <c r="J193" i="1"/>
  <c r="K193" i="1"/>
  <c r="J289" i="1"/>
  <c r="K120" i="1"/>
  <c r="J167" i="1"/>
  <c r="K250" i="1"/>
  <c r="J178" i="1"/>
  <c r="J168" i="1"/>
  <c r="K213" i="1"/>
  <c r="J213" i="1"/>
  <c r="K153" i="1"/>
  <c r="J177" i="1"/>
  <c r="K309" i="1"/>
  <c r="J346" i="1"/>
  <c r="J455" i="1"/>
  <c r="K236" i="1"/>
  <c r="J236" i="1"/>
  <c r="J249" i="1"/>
  <c r="K381" i="1"/>
  <c r="K224" i="1"/>
  <c r="J309" i="1"/>
  <c r="K440" i="1"/>
  <c r="K162" i="1"/>
  <c r="K90" i="1"/>
  <c r="J90" i="1"/>
  <c r="J18" i="1"/>
  <c r="K18" i="1"/>
  <c r="J106" i="1"/>
  <c r="K129" i="1"/>
  <c r="K139" i="1"/>
  <c r="J250" i="1"/>
  <c r="J284" i="1"/>
  <c r="K294" i="1"/>
  <c r="K310" i="1"/>
  <c r="J417" i="1"/>
  <c r="J34" i="1"/>
  <c r="K189" i="1"/>
  <c r="J210" i="1"/>
  <c r="K297" i="1"/>
  <c r="K441" i="1"/>
  <c r="J319" i="1"/>
  <c r="K335" i="1"/>
  <c r="J335" i="1"/>
  <c r="J466" i="1"/>
  <c r="J345" i="1"/>
  <c r="K345" i="1"/>
  <c r="K333" i="1"/>
  <c r="K383" i="1"/>
  <c r="K211" i="1"/>
  <c r="K318" i="1"/>
  <c r="J318" i="1"/>
  <c r="J82" i="1"/>
  <c r="J141" i="1"/>
  <c r="K210" i="1"/>
  <c r="J367" i="1"/>
  <c r="J152" i="1"/>
  <c r="J227" i="1"/>
  <c r="K455" i="1"/>
  <c r="K163" i="1"/>
  <c r="J163" i="1"/>
  <c r="J151" i="1"/>
  <c r="J22" i="1"/>
  <c r="K138" i="1"/>
  <c r="J138" i="1"/>
  <c r="J55" i="1"/>
  <c r="J162" i="1"/>
  <c r="J354" i="1"/>
  <c r="K70" i="1"/>
  <c r="J185" i="1"/>
  <c r="J221" i="1"/>
  <c r="J280" i="1"/>
  <c r="J292" i="1"/>
  <c r="J433" i="1"/>
  <c r="J49" i="1"/>
  <c r="K49" i="1"/>
  <c r="K300" i="1"/>
  <c r="J300" i="1"/>
  <c r="J192" i="1"/>
  <c r="J372" i="1"/>
  <c r="K419" i="1"/>
  <c r="J419" i="1"/>
  <c r="K371" i="1"/>
  <c r="J371" i="1"/>
  <c r="K359" i="1"/>
  <c r="J359" i="1"/>
  <c r="K239" i="1"/>
  <c r="J239" i="1"/>
  <c r="K215" i="1"/>
  <c r="J215" i="1"/>
  <c r="J203" i="1"/>
  <c r="K203" i="1"/>
  <c r="K191" i="1"/>
  <c r="J191" i="1"/>
  <c r="J155" i="1"/>
  <c r="J143" i="1"/>
  <c r="K143" i="1"/>
  <c r="J95" i="1"/>
  <c r="K95" i="1"/>
  <c r="K83" i="1"/>
  <c r="J83" i="1"/>
  <c r="J35" i="1"/>
  <c r="K35" i="1"/>
  <c r="K168" i="1"/>
  <c r="J336" i="1"/>
  <c r="J454" i="1"/>
  <c r="J418" i="1"/>
  <c r="J406" i="1"/>
  <c r="J370" i="1"/>
  <c r="J445" i="1"/>
  <c r="K288" i="1"/>
  <c r="J288" i="1"/>
  <c r="K24" i="1"/>
  <c r="J24" i="1"/>
  <c r="J397" i="1"/>
  <c r="J349" i="1"/>
  <c r="K85" i="1"/>
  <c r="K432" i="1"/>
  <c r="J432" i="1"/>
  <c r="K396" i="1"/>
  <c r="J396" i="1"/>
  <c r="K384" i="1"/>
  <c r="J384" i="1"/>
  <c r="K204" i="1"/>
  <c r="J204" i="1"/>
  <c r="K180" i="1"/>
  <c r="K96" i="1"/>
  <c r="J96" i="1"/>
  <c r="J84" i="1"/>
  <c r="K72" i="1"/>
  <c r="J72" i="1"/>
  <c r="K12" i="1"/>
  <c r="J12" i="1"/>
  <c r="K60" i="1"/>
  <c r="J156" i="1"/>
  <c r="K169" i="1"/>
  <c r="J395" i="1"/>
  <c r="J464" i="1"/>
  <c r="K464" i="1"/>
  <c r="J344" i="1"/>
  <c r="K344" i="1"/>
  <c r="K212" i="1"/>
  <c r="J212" i="1"/>
  <c r="J116" i="1"/>
  <c r="K116" i="1"/>
  <c r="K253" i="1"/>
  <c r="J325" i="1"/>
  <c r="K395" i="1"/>
  <c r="K407" i="1"/>
  <c r="J8" i="1"/>
  <c r="K107" i="1"/>
  <c r="J132" i="1"/>
  <c r="K156" i="1"/>
  <c r="J241" i="1"/>
  <c r="J408" i="1"/>
  <c r="K8" i="1"/>
  <c r="J157" i="1"/>
  <c r="J164" i="1"/>
  <c r="J276" i="1"/>
  <c r="K408" i="1"/>
  <c r="J119" i="1"/>
  <c r="K157" i="1"/>
  <c r="K192" i="1"/>
  <c r="J296" i="1"/>
  <c r="J332" i="1"/>
  <c r="J313" i="1"/>
  <c r="J205" i="1"/>
  <c r="J360" i="1"/>
  <c r="K240" i="1"/>
  <c r="J240" i="1"/>
  <c r="J121" i="1"/>
  <c r="J169" i="1"/>
  <c r="K313" i="1"/>
  <c r="K336" i="1"/>
  <c r="J383" i="1"/>
  <c r="J488" i="1"/>
  <c r="J452" i="1"/>
  <c r="J97" i="1"/>
  <c r="J420" i="1"/>
  <c r="J228" i="1"/>
  <c r="J11" i="1"/>
  <c r="K20" i="1"/>
  <c r="K84" i="1"/>
  <c r="K119" i="1"/>
  <c r="J133" i="1"/>
  <c r="J229" i="1"/>
  <c r="J277" i="1"/>
  <c r="K289" i="1"/>
  <c r="J347" i="1"/>
  <c r="J468" i="1"/>
  <c r="J409" i="1"/>
  <c r="K265" i="1"/>
  <c r="J265" i="1"/>
  <c r="K216" i="1"/>
  <c r="J216" i="1"/>
  <c r="J144" i="1"/>
  <c r="K301" i="1"/>
  <c r="J404" i="1"/>
  <c r="K404" i="1"/>
  <c r="K248" i="1"/>
  <c r="J128" i="1"/>
  <c r="J264" i="1"/>
  <c r="K431" i="1"/>
  <c r="K420" i="1"/>
  <c r="J47" i="1"/>
  <c r="J13" i="1"/>
  <c r="J120" i="1"/>
  <c r="J248" i="1"/>
  <c r="K368" i="1"/>
  <c r="J211" i="1"/>
  <c r="J175" i="1"/>
  <c r="J198" i="1"/>
  <c r="J271" i="1"/>
  <c r="J426" i="1"/>
  <c r="J463" i="1"/>
  <c r="J487" i="1"/>
  <c r="K43" i="1"/>
  <c r="J226" i="1"/>
  <c r="J235" i="1"/>
  <c r="J307" i="1"/>
  <c r="J103" i="1"/>
  <c r="K187" i="1"/>
  <c r="J222" i="1"/>
  <c r="J294" i="1"/>
  <c r="J391" i="1"/>
  <c r="J281" i="1"/>
  <c r="K312" i="1"/>
  <c r="J312" i="1"/>
  <c r="J52" i="1"/>
  <c r="J71" i="1"/>
  <c r="K108" i="1"/>
  <c r="K161" i="1"/>
  <c r="J161" i="1"/>
  <c r="J196" i="1"/>
  <c r="J200" i="1"/>
  <c r="J232" i="1"/>
  <c r="K262" i="1"/>
  <c r="K328" i="1"/>
  <c r="J328" i="1"/>
  <c r="K380" i="1"/>
  <c r="J380" i="1"/>
  <c r="J465" i="1"/>
  <c r="K17" i="1"/>
  <c r="J25" i="1"/>
  <c r="K37" i="1"/>
  <c r="J45" i="1"/>
  <c r="K45" i="1"/>
  <c r="K48" i="1"/>
  <c r="K52" i="1"/>
  <c r="J56" i="1"/>
  <c r="J80" i="1"/>
  <c r="J88" i="1"/>
  <c r="J92" i="1"/>
  <c r="K109" i="1"/>
  <c r="J109" i="1"/>
  <c r="K145" i="1"/>
  <c r="J145" i="1"/>
  <c r="K176" i="1"/>
  <c r="K196" i="1"/>
  <c r="K232" i="1"/>
  <c r="J283" i="1"/>
  <c r="K283" i="1"/>
  <c r="J298" i="1"/>
  <c r="J323" i="1"/>
  <c r="K356" i="1"/>
  <c r="J356" i="1"/>
  <c r="J374" i="1"/>
  <c r="K410" i="1"/>
  <c r="J63" i="1"/>
  <c r="J160" i="1"/>
  <c r="J311" i="1"/>
  <c r="J339" i="1"/>
  <c r="J388" i="1"/>
  <c r="J21" i="1"/>
  <c r="K67" i="1"/>
  <c r="K416" i="1"/>
  <c r="J416" i="1"/>
  <c r="K40" i="1"/>
  <c r="K88" i="1"/>
  <c r="K105" i="1"/>
  <c r="J130" i="1"/>
  <c r="K197" i="1"/>
  <c r="J197" i="1"/>
  <c r="K459" i="1"/>
  <c r="K118" i="1"/>
  <c r="J99" i="1"/>
  <c r="K99" i="1"/>
  <c r="K148" i="1"/>
  <c r="J148" i="1"/>
  <c r="J117" i="1"/>
  <c r="K117" i="1"/>
  <c r="K32" i="1"/>
  <c r="K63" i="1"/>
  <c r="K140" i="1"/>
  <c r="K160" i="1"/>
  <c r="J179" i="1"/>
  <c r="J262" i="1"/>
  <c r="J306" i="1"/>
  <c r="K405" i="1"/>
  <c r="J405" i="1"/>
  <c r="K36" i="1"/>
  <c r="J10" i="1"/>
  <c r="K25" i="1"/>
  <c r="J439" i="1"/>
  <c r="K14" i="1"/>
  <c r="K53" i="1"/>
  <c r="K73" i="1"/>
  <c r="K101" i="1"/>
  <c r="J154" i="1"/>
  <c r="J166" i="1"/>
  <c r="J173" i="1"/>
  <c r="J257" i="1"/>
  <c r="K303" i="1"/>
  <c r="J351" i="1"/>
  <c r="J357" i="1"/>
  <c r="J6" i="1"/>
  <c r="J57" i="1"/>
  <c r="K6" i="1"/>
  <c r="J114" i="1"/>
  <c r="J38" i="1"/>
  <c r="J42" i="1"/>
  <c r="J46" i="1"/>
  <c r="K61" i="1"/>
  <c r="J65" i="1"/>
  <c r="K69" i="1"/>
  <c r="J73" i="1"/>
  <c r="J94" i="1"/>
  <c r="J102" i="1"/>
  <c r="K102" i="1"/>
  <c r="K127" i="1"/>
  <c r="J131" i="1"/>
  <c r="K154" i="1"/>
  <c r="K158" i="1"/>
  <c r="J158" i="1"/>
  <c r="K173" i="1"/>
  <c r="J223" i="1"/>
  <c r="J258" i="1"/>
  <c r="K258" i="1"/>
  <c r="J274" i="1"/>
  <c r="K279" i="1"/>
  <c r="J279" i="1"/>
  <c r="J303" i="1"/>
  <c r="K351" i="1"/>
  <c r="J358" i="1"/>
  <c r="K401" i="1"/>
  <c r="J429" i="1"/>
  <c r="K112" i="1"/>
  <c r="J112" i="1"/>
  <c r="J378" i="1"/>
  <c r="J9" i="1"/>
  <c r="K9" i="1"/>
  <c r="J67" i="1"/>
  <c r="J44" i="1"/>
  <c r="K104" i="1"/>
  <c r="J2" i="1"/>
  <c r="K89" i="1"/>
  <c r="J89" i="1"/>
  <c r="J375" i="1"/>
  <c r="J459" i="1"/>
  <c r="J30" i="1"/>
  <c r="K30" i="1"/>
  <c r="J61" i="1"/>
  <c r="J7" i="1"/>
  <c r="J23" i="1"/>
  <c r="K42" i="1"/>
  <c r="K46" i="1"/>
  <c r="K50" i="1"/>
  <c r="J58" i="1"/>
  <c r="K65" i="1"/>
  <c r="J190" i="1"/>
  <c r="J202" i="1"/>
  <c r="K220" i="1"/>
  <c r="J220" i="1"/>
  <c r="J275" i="1"/>
  <c r="K393" i="1"/>
  <c r="J393" i="1"/>
  <c r="K184" i="1"/>
  <c r="J184" i="1"/>
  <c r="K21" i="1"/>
  <c r="J79" i="1"/>
  <c r="K68" i="1"/>
  <c r="K2" i="1"/>
  <c r="J81" i="1"/>
  <c r="K81" i="1"/>
  <c r="K122" i="1"/>
  <c r="J122" i="1"/>
  <c r="K181" i="1"/>
  <c r="J181" i="1"/>
  <c r="J4" i="1"/>
  <c r="J27" i="1"/>
  <c r="J66" i="1"/>
  <c r="K66" i="1"/>
  <c r="J115" i="1"/>
  <c r="K194" i="1"/>
  <c r="J194" i="1"/>
  <c r="K238" i="1"/>
  <c r="J334" i="1"/>
  <c r="J352" i="1"/>
  <c r="K125" i="1"/>
  <c r="J125" i="1"/>
  <c r="K217" i="1"/>
  <c r="J217" i="1"/>
  <c r="J251" i="1"/>
  <c r="K251" i="1"/>
  <c r="J322" i="1"/>
  <c r="K44" i="1"/>
  <c r="K33" i="1"/>
  <c r="J400" i="1"/>
  <c r="J101" i="1"/>
  <c r="J14" i="1"/>
  <c r="J78" i="1"/>
  <c r="K86" i="1"/>
  <c r="J86" i="1"/>
  <c r="J124" i="1"/>
  <c r="J238" i="1"/>
  <c r="K254" i="1"/>
  <c r="K261" i="1"/>
  <c r="J291" i="1"/>
  <c r="K316" i="1"/>
  <c r="J316" i="1"/>
  <c r="J424" i="1"/>
  <c r="J268" i="1"/>
  <c r="J285" i="1"/>
  <c r="K326" i="1"/>
  <c r="K369" i="1"/>
  <c r="J382" i="1"/>
  <c r="J386" i="1"/>
  <c r="J422" i="1"/>
  <c r="J436" i="1"/>
  <c r="K473" i="1"/>
  <c r="J473" i="1"/>
  <c r="J483" i="1"/>
  <c r="K437" i="1"/>
  <c r="J437" i="1"/>
  <c r="J447" i="1"/>
  <c r="K245" i="1"/>
  <c r="J273" i="1"/>
  <c r="J310" i="1"/>
  <c r="K342" i="1"/>
  <c r="K392" i="1"/>
  <c r="K414" i="1"/>
  <c r="J414" i="1"/>
  <c r="J484" i="1"/>
  <c r="J470" i="1"/>
  <c r="K486" i="1"/>
  <c r="J486" i="1"/>
  <c r="K255" i="1"/>
  <c r="J434" i="1"/>
  <c r="K450" i="1"/>
  <c r="J450" i="1"/>
  <c r="J460" i="1"/>
  <c r="J411" i="1"/>
  <c r="J471" i="1"/>
  <c r="J317" i="1"/>
  <c r="K93" i="1"/>
  <c r="J252" i="1"/>
  <c r="E3" i="4"/>
  <c r="K453" i="1"/>
  <c r="K476" i="1"/>
  <c r="K489" i="1"/>
  <c r="K268" i="1"/>
  <c r="K291" i="1"/>
  <c r="K304" i="1"/>
  <c r="K308" i="1"/>
  <c r="K320" i="1"/>
  <c r="K339" i="1"/>
  <c r="K343" i="1"/>
  <c r="K362" i="1"/>
  <c r="K375" i="1"/>
  <c r="K398" i="1"/>
  <c r="K411" i="1"/>
  <c r="J421" i="1"/>
  <c r="J431" i="1"/>
  <c r="K434" i="1"/>
  <c r="J444" i="1"/>
  <c r="K447" i="1"/>
  <c r="J467" i="1"/>
  <c r="K470" i="1"/>
  <c r="K483" i="1"/>
  <c r="E4" i="4"/>
  <c r="K487" i="1"/>
  <c r="K484" i="1"/>
  <c r="K481" i="1"/>
  <c r="K478" i="1"/>
  <c r="K475" i="1"/>
  <c r="K472" i="1"/>
  <c r="K466" i="1"/>
  <c r="K463" i="1"/>
  <c r="K460" i="1"/>
  <c r="K457" i="1"/>
  <c r="K454" i="1"/>
  <c r="K451" i="1"/>
  <c r="K448" i="1"/>
  <c r="K445" i="1"/>
  <c r="K442" i="1"/>
  <c r="K439" i="1"/>
  <c r="K436" i="1"/>
  <c r="K433" i="1"/>
  <c r="K430" i="1"/>
  <c r="K427" i="1"/>
  <c r="K424" i="1"/>
  <c r="K421" i="1"/>
  <c r="K418" i="1"/>
  <c r="K412" i="1"/>
  <c r="K409" i="1"/>
  <c r="K406" i="1"/>
  <c r="K403" i="1"/>
  <c r="K400" i="1"/>
  <c r="K397" i="1"/>
  <c r="K394" i="1"/>
  <c r="K391" i="1"/>
  <c r="K388" i="1"/>
  <c r="K385" i="1"/>
  <c r="K382" i="1"/>
  <c r="K379" i="1"/>
  <c r="K376" i="1"/>
  <c r="K373" i="1"/>
  <c r="K370" i="1"/>
  <c r="K367" i="1"/>
  <c r="K364" i="1"/>
  <c r="K361" i="1"/>
  <c r="K358" i="1"/>
  <c r="K355" i="1"/>
  <c r="K352" i="1"/>
  <c r="K349" i="1"/>
  <c r="K346" i="1"/>
  <c r="K340" i="1"/>
  <c r="K337" i="1"/>
  <c r="K334" i="1"/>
  <c r="K311" i="1"/>
  <c r="K305" i="1"/>
  <c r="K302" i="1"/>
  <c r="K299" i="1"/>
  <c r="K296" i="1"/>
  <c r="K293" i="1"/>
  <c r="K290" i="1"/>
  <c r="K287" i="1"/>
  <c r="K284" i="1"/>
  <c r="K281" i="1"/>
  <c r="K278" i="1"/>
  <c r="K275" i="1"/>
  <c r="K272" i="1"/>
  <c r="K269" i="1"/>
  <c r="K266" i="1"/>
  <c r="K263" i="1"/>
  <c r="K260" i="1"/>
  <c r="K257" i="1"/>
  <c r="K249" i="1"/>
  <c r="K246" i="1"/>
  <c r="K243" i="1"/>
  <c r="J449" i="1"/>
  <c r="K452" i="1"/>
  <c r="J462" i="1"/>
  <c r="K465" i="1"/>
  <c r="J475" i="1"/>
  <c r="K488" i="1"/>
  <c r="O250" i="1" l="1"/>
  <c r="O333" i="1"/>
  <c r="O255" i="1"/>
  <c r="O332" i="1"/>
  <c r="O251" i="1"/>
  <c r="J415" i="1"/>
  <c r="K480" i="1"/>
  <c r="K415" i="1"/>
  <c r="J457" i="1"/>
  <c r="O256" i="1"/>
  <c r="J461" i="1"/>
  <c r="K461" i="1"/>
  <c r="K324" i="1"/>
  <c r="J324" i="1"/>
  <c r="J479" i="1"/>
  <c r="K479" i="1"/>
  <c r="J451" i="1"/>
  <c r="J402" i="1"/>
  <c r="K402" i="1"/>
  <c r="K314" i="1"/>
  <c r="J314" i="1"/>
  <c r="O312" i="1" s="1"/>
  <c r="K467" i="1"/>
  <c r="J343" i="1"/>
  <c r="J469" i="1"/>
  <c r="J389" i="1"/>
  <c r="K389" i="1"/>
  <c r="J438" i="1"/>
  <c r="K438" i="1"/>
  <c r="G3" i="4"/>
  <c r="D3" i="4"/>
  <c r="G2" i="4"/>
  <c r="G4" i="4"/>
  <c r="D7" i="4"/>
  <c r="K295" i="1"/>
  <c r="J295" i="1"/>
  <c r="K456" i="1"/>
  <c r="J456" i="1"/>
  <c r="J282" i="1"/>
  <c r="K282" i="1"/>
  <c r="G5" i="4"/>
  <c r="J425" i="1"/>
  <c r="K425" i="1"/>
  <c r="J379" i="1"/>
  <c r="J480" i="1"/>
  <c r="K469" i="1"/>
  <c r="J366" i="1"/>
  <c r="K366" i="1"/>
  <c r="J474" i="1"/>
  <c r="K474" i="1"/>
  <c r="O260" i="1"/>
  <c r="J272" i="1"/>
  <c r="K443" i="1"/>
  <c r="J443" i="1"/>
  <c r="K259" i="1"/>
  <c r="J259" i="1"/>
  <c r="J308" i="1"/>
  <c r="K444" i="1"/>
  <c r="J353" i="1"/>
  <c r="K353" i="1"/>
  <c r="D6" i="4" l="1"/>
  <c r="H8" i="4" s="1"/>
  <c r="O313" i="1"/>
</calcChain>
</file>

<file path=xl/sharedStrings.xml><?xml version="1.0" encoding="utf-8"?>
<sst xmlns="http://schemas.openxmlformats.org/spreadsheetml/2006/main" count="1689" uniqueCount="260">
  <si>
    <t>Name/ID</t>
  </si>
  <si>
    <t>channel ID</t>
  </si>
  <si>
    <t>Sample Name</t>
  </si>
  <si>
    <t>Recipe</t>
  </si>
  <si>
    <t>Total electrode weight (mg)</t>
  </si>
  <si>
    <t>Electrode Thickness(µm)</t>
  </si>
  <si>
    <t>Electrode Diameter(mm)</t>
  </si>
  <si>
    <t>Coating weight (mg)</t>
  </si>
  <si>
    <t>Active mass (mg)</t>
  </si>
  <si>
    <t>Loading level(mg/cm^2)</t>
  </si>
  <si>
    <t>Electrode Density ( g/cm^3)</t>
  </si>
  <si>
    <t>Porosity</t>
  </si>
  <si>
    <t>Iterations</t>
  </si>
  <si>
    <t>51_05_08</t>
  </si>
  <si>
    <t>UKP241003</t>
  </si>
  <si>
    <t>Production</t>
  </si>
  <si>
    <t>51_06_02</t>
  </si>
  <si>
    <t>51_06_05</t>
  </si>
  <si>
    <t>51_08_01</t>
  </si>
  <si>
    <t>51_05_01</t>
  </si>
  <si>
    <t>CQA-1002</t>
  </si>
  <si>
    <t>51_05_06</t>
  </si>
  <si>
    <t>51_05_07</t>
  </si>
  <si>
    <t>51_02_07</t>
  </si>
  <si>
    <t>51_03_03</t>
  </si>
  <si>
    <t>CQA-1030</t>
  </si>
  <si>
    <t>51_08_02</t>
  </si>
  <si>
    <t>51_08_03</t>
  </si>
  <si>
    <t>51_08_04</t>
  </si>
  <si>
    <t>CQA-1003</t>
  </si>
  <si>
    <t>51_10_07</t>
  </si>
  <si>
    <t>51_10_08</t>
  </si>
  <si>
    <t>51_07_01</t>
  </si>
  <si>
    <t>CQA-1003-20um</t>
  </si>
  <si>
    <t>51_07_02</t>
  </si>
  <si>
    <t>51_07_03</t>
  </si>
  <si>
    <t>51_07_04</t>
  </si>
  <si>
    <t>51_07_05</t>
  </si>
  <si>
    <t>CQA-1003-10um</t>
  </si>
  <si>
    <t>51_07_06</t>
  </si>
  <si>
    <t>51_07_07</t>
  </si>
  <si>
    <t>51_07_08</t>
  </si>
  <si>
    <t>51_06_01</t>
  </si>
  <si>
    <t>UKP250101</t>
  </si>
  <si>
    <t>51_06_03</t>
  </si>
  <si>
    <t>51_06_04</t>
  </si>
  <si>
    <t>51_06_07</t>
  </si>
  <si>
    <t>51_06_06</t>
  </si>
  <si>
    <t>CQA-1026</t>
  </si>
  <si>
    <t>51_04_02</t>
  </si>
  <si>
    <t>UKP250201</t>
  </si>
  <si>
    <t>51_05_04</t>
  </si>
  <si>
    <t>51_06_08</t>
  </si>
  <si>
    <t>51_09_03</t>
  </si>
  <si>
    <t>51_07-03</t>
  </si>
  <si>
    <t>51_07-04</t>
  </si>
  <si>
    <t>QD-600L-241204</t>
  </si>
  <si>
    <t>51_07-05</t>
  </si>
  <si>
    <t>51_07-06</t>
  </si>
  <si>
    <t>51_07-07</t>
  </si>
  <si>
    <t>UKP250202</t>
  </si>
  <si>
    <t>20_02_28</t>
  </si>
  <si>
    <t>UKP250203</t>
  </si>
  <si>
    <t>UKP250204</t>
  </si>
  <si>
    <t>UKP250301</t>
  </si>
  <si>
    <t>G0-5-1-11-PB1</t>
  </si>
  <si>
    <t>RnD</t>
  </si>
  <si>
    <t>20_01_07</t>
  </si>
  <si>
    <t>UKP250203-2nd</t>
  </si>
  <si>
    <t>20_01_08</t>
  </si>
  <si>
    <t>20_02_08</t>
  </si>
  <si>
    <t>20_04_06</t>
  </si>
  <si>
    <t>20_04_07</t>
  </si>
  <si>
    <t>20_04_08</t>
  </si>
  <si>
    <t>51_05_03</t>
  </si>
  <si>
    <t>51_05_05</t>
  </si>
  <si>
    <t>20_04_01</t>
  </si>
  <si>
    <t>FPP-02-Mn-I</t>
  </si>
  <si>
    <t>20_04_03</t>
  </si>
  <si>
    <t>20_04_04</t>
  </si>
  <si>
    <t>UKP250302</t>
  </si>
  <si>
    <t>UKP250301-2nd</t>
  </si>
  <si>
    <t>51_08_05</t>
  </si>
  <si>
    <t>51_08_06</t>
  </si>
  <si>
    <t>G0-5-1-11-PB2</t>
  </si>
  <si>
    <t>51_08_07</t>
  </si>
  <si>
    <t>FPP-02-Mn-II</t>
  </si>
  <si>
    <t>UKP250302-2nd</t>
  </si>
  <si>
    <t>FPP-02-Mn-III</t>
  </si>
  <si>
    <t>UKP250301-10p-P</t>
  </si>
  <si>
    <t>UKP250303</t>
  </si>
  <si>
    <t>51_04_07</t>
  </si>
  <si>
    <t>UKP250304</t>
  </si>
  <si>
    <t>51_04_08</t>
  </si>
  <si>
    <t>UKP250303-Und</t>
  </si>
  <si>
    <t>G0-5-1-11-M2-2</t>
  </si>
  <si>
    <t>UKP250303-Cal-5T</t>
  </si>
  <si>
    <t>UKP250301-5p-PC</t>
  </si>
  <si>
    <t>UKP240302-HCP</t>
  </si>
  <si>
    <t>51_08_08</t>
  </si>
  <si>
    <t>UKP250401</t>
  </si>
  <si>
    <t>51_09_04</t>
  </si>
  <si>
    <t>51_10_06</t>
  </si>
  <si>
    <t>PCP-03-03</t>
  </si>
  <si>
    <t>FPP-02-Mn-IV</t>
  </si>
  <si>
    <t>UKP250401-10T</t>
  </si>
  <si>
    <t>UKP250402</t>
  </si>
  <si>
    <t>UKP250303-RnD</t>
  </si>
  <si>
    <t>QD-660L-241206</t>
  </si>
  <si>
    <t>UKP250401-5T</t>
  </si>
  <si>
    <t>UKP250401-7T</t>
  </si>
  <si>
    <t>UKP250203-Aline</t>
  </si>
  <si>
    <t>UKP250403</t>
  </si>
  <si>
    <t>UKP250403-7T</t>
  </si>
  <si>
    <t>UKP250404</t>
  </si>
  <si>
    <t>PCP0303202</t>
  </si>
  <si>
    <t>51_05_02</t>
  </si>
  <si>
    <t>51_09_01</t>
  </si>
  <si>
    <t>51_09_02</t>
  </si>
  <si>
    <t>51_09_05</t>
  </si>
  <si>
    <t>FPP-02-1l-02</t>
  </si>
  <si>
    <t>51_10_01</t>
  </si>
  <si>
    <t>UKP250302-10d</t>
  </si>
  <si>
    <t>51_10_02</t>
  </si>
  <si>
    <t>-</t>
  </si>
  <si>
    <t>Bad OCV not started</t>
  </si>
  <si>
    <t>51_10_04</t>
  </si>
  <si>
    <t>51_10_05</t>
  </si>
  <si>
    <t>UKP250302-Mixer</t>
  </si>
  <si>
    <t>UKP250302-3-Weeks</t>
  </si>
  <si>
    <t>UKP250501</t>
  </si>
  <si>
    <t>UKP250501-Cal</t>
  </si>
  <si>
    <t>UKP250501-2nd</t>
  </si>
  <si>
    <t>UKP250601</t>
  </si>
  <si>
    <t>PG-0-0-2-Validation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</si>
  <si>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</si>
  <si>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</si>
  <si>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</si>
  <si>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</si>
  <si>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</si>
  <si>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</si>
  <si>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</si>
  <si>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</si>
  <si>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G0-5-1-11-M2</t>
  </si>
  <si>
    <t>UKP250602</t>
  </si>
  <si>
    <t>UKP250603</t>
  </si>
  <si>
    <t>PG-0-0-2-RnD</t>
  </si>
  <si>
    <t>UKP250701</t>
  </si>
  <si>
    <t>PG-0-0-2-Validation-1000</t>
  </si>
  <si>
    <t>PG-0-0-2-Validation-600</t>
  </si>
  <si>
    <t>G0-5-2-3</t>
  </si>
  <si>
    <t>UKP250702</t>
  </si>
  <si>
    <t>PG-0-0-2-Validation-1200</t>
  </si>
  <si>
    <t>PG-0-0-2-Validation-800</t>
  </si>
  <si>
    <t>G0-5-2-4</t>
  </si>
  <si>
    <t>G0-5-3-1</t>
  </si>
  <si>
    <t>PG-0-0-2-Validation-LL-1</t>
  </si>
  <si>
    <t>PG-0-0-2-Validation-LL-2</t>
  </si>
  <si>
    <t>350um</t>
  </si>
  <si>
    <t>250um</t>
  </si>
  <si>
    <t>PG-0-0-2-Validation-LL-3</t>
  </si>
  <si>
    <t>PG-0-0-2-Validation-El-2</t>
  </si>
  <si>
    <t>90ul</t>
  </si>
  <si>
    <t>PG-0-0-2-Valiadtion-El-3</t>
  </si>
  <si>
    <t>50ul</t>
  </si>
  <si>
    <t>PG-0-0-2-Valiadtion-LL-3</t>
  </si>
  <si>
    <t>150um</t>
  </si>
  <si>
    <t>G0-5-2-5</t>
  </si>
  <si>
    <t>PG-0-0-2-Valiadtion-El-2</t>
  </si>
  <si>
    <t>PG-0-0-2-Valiadtion-SS</t>
  </si>
  <si>
    <t>PG-6-1-2</t>
  </si>
  <si>
    <t>Draslovka_2502</t>
  </si>
  <si>
    <t>PG-0-0-6-Validation-Uncal</t>
  </si>
  <si>
    <t>PG-0-0-6-Validation-5T</t>
  </si>
  <si>
    <t>PG-0-0-6-Validation-7T</t>
  </si>
  <si>
    <t>CAT-243-LML</t>
  </si>
  <si>
    <t>CAT-244-LML</t>
  </si>
  <si>
    <t>UKP250603-20SS</t>
  </si>
  <si>
    <t>UKP250603-20DS</t>
  </si>
  <si>
    <t>UKP250603-40SS</t>
  </si>
  <si>
    <t>UKP250603-7Tonnes</t>
  </si>
  <si>
    <t>UKP250603-5Tonnes</t>
  </si>
  <si>
    <t>old ele</t>
  </si>
  <si>
    <t>G10-03-03-01</t>
  </si>
  <si>
    <t>G10-02-04-01</t>
  </si>
  <si>
    <t>DPF-02</t>
  </si>
  <si>
    <t>UKP251001</t>
  </si>
  <si>
    <t>PG-0-0-12-13</t>
  </si>
  <si>
    <t>UKP251002</t>
  </si>
  <si>
    <t>Draslovka-2502-A3-2m</t>
  </si>
  <si>
    <t>UKP251003</t>
  </si>
  <si>
    <t>UKP251101</t>
  </si>
  <si>
    <t>UKP250701-B3-2m</t>
  </si>
  <si>
    <t xml:space="preserve"> </t>
  </si>
  <si>
    <t>PG-9-1-1-(2)-CL-DR-1wk</t>
  </si>
  <si>
    <t>PG-9-1-1-(2)-UCL-DR-1wk</t>
  </si>
  <si>
    <t>PG-9-1-1-(2)-CL-VO-1wk</t>
  </si>
  <si>
    <t>PG-0-0-12-13-CFC</t>
  </si>
  <si>
    <t>Coin Full Cell</t>
  </si>
  <si>
    <t>PG-9-1-1-2-CFC</t>
  </si>
  <si>
    <t>PG-9-1-1-(2)-CL-DR-2wk</t>
  </si>
  <si>
    <t>PG-9-1-1-(2)-UCL-DR-2wk</t>
  </si>
  <si>
    <t>PG-9-1-1-(2)-CL-VO-2wk</t>
  </si>
  <si>
    <t>PG-0-0-12-13-SLP</t>
  </si>
  <si>
    <t>SIngle Layer Pouch</t>
  </si>
  <si>
    <t>UKP251002-SLP</t>
  </si>
  <si>
    <t>Voltage Extended</t>
  </si>
  <si>
    <t>PG-9-1-1-1-SLP</t>
  </si>
  <si>
    <t>PG-9-1-1-(2)-CL-DR-1m</t>
  </si>
  <si>
    <t>PG-9-1-1-(2)-UCL-DR-1m</t>
  </si>
  <si>
    <t>PG-9-1-1-(2)-CL-VO-1m</t>
  </si>
  <si>
    <t>PG-9-1-1-(2)-UCL-DR-1wk-R</t>
  </si>
  <si>
    <t>Draslovka-2501</t>
  </si>
  <si>
    <t>Draslovka-2502</t>
  </si>
  <si>
    <t>PWA-Altris-2503</t>
  </si>
  <si>
    <t>PG-9-1-1-(2)-CL-DR-2m</t>
  </si>
  <si>
    <t>PG-9-1-1-(2)-UCL-DR-2m</t>
  </si>
  <si>
    <t>PG-9-1-1-(2)-CL-VO-2m</t>
  </si>
  <si>
    <t>C-260114-Cart</t>
  </si>
  <si>
    <t>C-260114-Mix</t>
  </si>
  <si>
    <t>C-260112-Muk</t>
  </si>
  <si>
    <t>T4-1-1-1</t>
  </si>
  <si>
    <t>PG-9-1-1-2</t>
  </si>
  <si>
    <t>Substrate</t>
  </si>
  <si>
    <t>Substarte Aerial density (mg/cm^2)</t>
  </si>
  <si>
    <t>Substarte/Electrode Area(cm^2) (12.7mm diameter disc)</t>
  </si>
  <si>
    <t>Substarte/Electrode Area(cm^2) (13mm diameter disc)</t>
  </si>
  <si>
    <t>Substrate thickness,µm</t>
  </si>
  <si>
    <t>SAMA 1100</t>
  </si>
  <si>
    <t>Constantia 1100 - 12 µm'</t>
  </si>
  <si>
    <t>Ding zheng 12 µm</t>
  </si>
  <si>
    <t>Pi()*(1.27/2)^2</t>
  </si>
  <si>
    <t>Gränges</t>
  </si>
  <si>
    <t>Components:</t>
  </si>
  <si>
    <t>Material</t>
  </si>
  <si>
    <t>Conc-solid(wt%)</t>
  </si>
  <si>
    <t>To add(g)</t>
  </si>
  <si>
    <t>Total_Solid (g)</t>
  </si>
  <si>
    <t>Component ratio-solid, Slurry/Undried Electrode (wt%)</t>
  </si>
  <si>
    <t>Component Ratio, dry electrode(Calculated based on 10% crystal water)</t>
  </si>
  <si>
    <t>Mass(g)</t>
  </si>
  <si>
    <t>%(w/w)</t>
  </si>
  <si>
    <t>Cathode active material</t>
  </si>
  <si>
    <t>Fennac(pure)</t>
  </si>
  <si>
    <t>Binder</t>
  </si>
  <si>
    <t>CMC(solution)</t>
  </si>
  <si>
    <t>SBR(solution)</t>
  </si>
  <si>
    <t>Conductive</t>
  </si>
  <si>
    <t>C65(pure)</t>
  </si>
  <si>
    <t>Solvent</t>
  </si>
  <si>
    <t>Water - deionised-1st</t>
  </si>
  <si>
    <t>Water - deionised-2nd</t>
  </si>
  <si>
    <t>Water-total</t>
  </si>
  <si>
    <t>Solid total</t>
  </si>
  <si>
    <t>Comp</t>
  </si>
  <si>
    <t>Amount in Kg</t>
  </si>
  <si>
    <t>Active</t>
  </si>
  <si>
    <t>C65+VL</t>
  </si>
  <si>
    <t>CMC</t>
  </si>
  <si>
    <t>SBR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</si>
</sst>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theme="4"/>
      </patternFill>
    </fill>
    <fill>
      <patternFill patternType="solid">
        <fgColor rgb="FFFFC000"/>
        <bgColor theme="4"/>
      </patternFill>
    </fill>
    <fill>
      <patternFill patternType="solid">
        <fgColor rgb="FF92D050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7F7F7F"/>
      </bottom>
      <diagonal/>
    </border>
    <border>
      <left/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14" fontId="0" fillId="0" borderId="0" xfId="0" applyNumberFormat="1"/>
    <xf numFmtId="0" fontId="3" fillId="3" borderId="1" xfId="0" applyFont="1" applyFill="1" applyBorder="1" applyAlignment="1">
      <alignment vertical="center" wrapText="1"/>
    </xf>
    <xf numFmtId="0" fontId="4" fillId="10" borderId="3" xfId="0" applyFont="1" applyFill="1" applyBorder="1"/>
    <xf numFmtId="0" fontId="4" fillId="0" borderId="3" xfId="0" applyFont="1" applyBorder="1"/>
    <xf numFmtId="0" fontId="0" fillId="0" borderId="2" xfId="0" applyBorder="1"/>
    <xf numFmtId="0" fontId="0" fillId="9" borderId="2" xfId="0" applyFill="1" applyBorder="1"/>
    <xf numFmtId="0" fontId="0" fillId="11" borderId="0" xfId="0" applyFill="1"/>
    <xf numFmtId="2" fontId="1" fillId="4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wrapText="1"/>
    </xf>
    <xf numFmtId="2" fontId="6" fillId="11" borderId="1" xfId="0" applyNumberFormat="1" applyFont="1" applyFill="1" applyBorder="1" applyAlignment="1">
      <alignment wrapText="1"/>
    </xf>
    <xf numFmtId="2" fontId="6" fillId="11" borderId="1" xfId="0" applyNumberFormat="1" applyFont="1" applyFill="1" applyBorder="1"/>
    <xf numFmtId="1" fontId="0" fillId="0" borderId="0" xfId="0" applyNumberFormat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8" fillId="12" borderId="10" xfId="0" applyFont="1" applyFill="1" applyBorder="1" applyAlignment="1">
      <alignment vertical="center"/>
    </xf>
    <xf numFmtId="0" fontId="8" fillId="12" borderId="11" xfId="0" applyFont="1" applyFill="1" applyBorder="1" applyAlignment="1">
      <alignment vertical="center"/>
    </xf>
    <xf numFmtId="0" fontId="8" fillId="12" borderId="12" xfId="0" applyFont="1" applyFill="1" applyBorder="1" applyAlignment="1">
      <alignment vertical="center"/>
    </xf>
    <xf numFmtId="0" fontId="8" fillId="12" borderId="13" xfId="0" applyFont="1" applyFill="1" applyBorder="1" applyAlignment="1">
      <alignment vertical="center"/>
    </xf>
    <xf numFmtId="0" fontId="0" fillId="7" borderId="1" xfId="0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6" borderId="8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5" borderId="1" xfId="0" applyFill="1" applyBorder="1" applyAlignment="1">
      <alignment horizontal="center" vertical="center"/>
    </xf>
    <xf numFmtId="0" fontId="0" fillId="0" borderId="7" xfId="0" applyBorder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alignment horizontal="general"/>
    </dxf>
    <dxf>
      <alignment horizontal="center" vertical="center"/>
    </dxf>
    <dxf>
      <numFmt numFmtId="1" formatCode="0"/>
      <alignment horizontal="center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696" totalsRowShown="0" headerRowDxfId="9" headerRowBorderDxfId="8">
  <autoFilter ref="A1:M696" xr:uid="{00000000-0009-0000-0100-000001000000}"/>
  <tableColumns count="13">
    <tableColumn id="1" xr3:uid="{00000000-0010-0000-0000-000001000000}" name="Name/ID" dataDxfId="7"/>
    <tableColumn id="2" xr3:uid="{00000000-0010-0000-0000-000002000000}" name="channel ID"/>
    <tableColumn id="5" xr3:uid="{00000000-0010-0000-0000-000005000000}" name="Sample Name" dataDxfId="6"/>
    <tableColumn id="22" xr3:uid="{00000000-0010-0000-0000-000016000000}" name="Recipe"/>
    <tableColumn id="7" xr3:uid="{00000000-0010-0000-0000-000007000000}" name="Total electrode weight (mg)" dataDxfId="5"/>
    <tableColumn id="21" xr3:uid="{00000000-0010-0000-0000-000015000000}" name="Electrode Thickness(µm)"/>
    <tableColumn id="4" xr3:uid="{48F68C27-D5DA-44F2-AF00-7E832666FC54}" name="Electrode Diameter(mm)"/>
    <tableColumn id="19" xr3:uid="{00000000-0010-0000-0000-000013000000}" name="Coating weight (mg)" dataDxfId="4">
      <calculatedColumnFormula>Table1[[#This Row],[Total electrode weight (mg)]] - IF(ROW()&lt;40, Constants!$B$2 * PI()*(Table1[[#This Row],[Electrode Diameter(mm)]]/(10*2))^2, Constants!$B$4 * PI()*(Table1[[#This Row],[Electrode Diameter(mm)]]/(10*2))^2)</calculatedColumnFormula>
    </tableColumn>
    <tableColumn id="14" xr3:uid="{00000000-0010-0000-0000-00000E000000}" name="Active mass (mg)" dataDxfId="3">
      <calculatedColumnFormula>IF(D2="", "", IF(D2="RnD", H2*0.85, IF(D2="Production", H2*0.93, "Invalid")))</calculatedColumnFormula>
    </tableColumn>
    <tableColumn id="15" xr3:uid="{00000000-0010-0000-0000-00000F000000}" name="Loading level(mg/cm^2)" dataDxfId="2">
      <calculatedColumnFormula>Table1[[#This Row],[Coating weight (mg)]]/Constants!$C$2</calculatedColumnFormula>
    </tableColumn>
    <tableColumn id="16" xr3:uid="{00000000-0010-0000-0000-000010000000}" name="Electrode Density ( g/cm^3)" dataDxfId="1">
      <calculatedColumnFormula>(Table1[[#This Row],[Coating weight (mg)]]/1000)/(((Table1[[#This Row],[Electrode Thickness(µm)]]-Constants!$E$4)*10^-4)*Constants!$C$4)</calculatedColumnFormula>
    </tableColumn>
    <tableColumn id="17" xr3:uid="{00000000-0010-0000-0000-000011000000}" name="Porosity"/>
    <tableColumn id="3" xr3:uid="{00000000-0010-0000-0000-000003000000}" name="Itera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6"/>
  <sheetViews>
    <sheetView zoomScale="97" workbookViewId="0">
      <pane ySplit="1" topLeftCell="A589" activePane="bottomLeft" state="frozen"/>
      <selection pane="bottomLeft" activeCell="I599" sqref="I599"/>
    </sheetView>
  </sheetViews>
  <sheetFormatPr defaultRowHeight="14.5" x14ac:dyDescent="0.35"/>
  <cols>
    <col min="1" max="1" width="10.26953125" style="5" customWidth="1"/>
    <col min="2" max="2" width="13" bestFit="1" customWidth="1"/>
    <col min="3" max="3" width="26" style="13" bestFit="1" customWidth="1"/>
    <col min="4" max="4" width="12.1796875" customWidth="1"/>
    <col min="5" max="5" width="14" customWidth="1"/>
    <col min="6" max="6" width="11.26953125" customWidth="1"/>
    <col min="7" max="7" width="11.1796875" customWidth="1"/>
    <col min="8" max="8" width="12.26953125" customWidth="1"/>
    <col min="9" max="9" width="10.7265625" style="12" customWidth="1"/>
    <col min="10" max="10" width="21.1796875" customWidth="1"/>
    <col min="11" max="11" width="11.1796875" customWidth="1"/>
    <col min="14" max="14" width="17.453125" bestFit="1" customWidth="1"/>
    <col min="15" max="15" width="16.1796875" bestFit="1" customWidth="1"/>
  </cols>
  <sheetData>
    <row r="1" spans="1:13" ht="4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8" t="s">
        <v>4</v>
      </c>
      <c r="F1" s="2" t="s">
        <v>5</v>
      </c>
      <c r="G1" s="2" t="s">
        <v>6</v>
      </c>
      <c r="H1" s="3" t="s">
        <v>7</v>
      </c>
      <c r="I1" s="24" t="s">
        <v>8</v>
      </c>
      <c r="J1" s="3" t="s">
        <v>9</v>
      </c>
      <c r="K1" s="3" t="s">
        <v>10</v>
      </c>
      <c r="L1" s="4" t="s">
        <v>11</v>
      </c>
      <c r="M1" s="16" t="s">
        <v>12</v>
      </c>
    </row>
    <row r="2" spans="1:13" x14ac:dyDescent="0.35">
      <c r="A2" s="28">
        <v>11573</v>
      </c>
      <c r="B2" t="s">
        <v>13</v>
      </c>
      <c r="C2" s="13" t="s">
        <v>14</v>
      </c>
      <c r="D2" t="s">
        <v>15</v>
      </c>
      <c r="E2" s="19">
        <v>24</v>
      </c>
      <c r="G2">
        <v>12.7</v>
      </c>
      <c r="H2">
        <f>Table1[[#This Row],[Total electrode weight (mg)]] - IF(ROW()&lt;40, Constants!$B$2 * PI()*(Table1[[#This Row],[Electrode Diameter(mm)]]/(10*2))^2, Constants!$B$4 * PI()*(Table1[[#This Row],[Electrode Diameter(mm)]]/(10*2))^2)</f>
        <v>18.882254461115274</v>
      </c>
      <c r="I2" s="12">
        <f>IF(D2="", "", IF(D2="RnD", H2*0.85, IF(D2="Production", H2*0.93, "Invalid")))</f>
        <v>17.560496648837205</v>
      </c>
      <c r="J2">
        <f>Table1[[#This Row],[Coating weight (mg)]]/Constants!$C$2</f>
        <v>14.905842317343858</v>
      </c>
      <c r="K2">
        <f>(Table1[[#This Row],[Coating weight (mg)]]/1000)/(((Table1[[#This Row],[Electrode Thickness(µm)]]-Constants!$E$4)*10^-4)*Constants!$C$4)</f>
        <v>-12.421535264453212</v>
      </c>
    </row>
    <row r="3" spans="1:13" x14ac:dyDescent="0.35">
      <c r="A3" s="28">
        <v>11574</v>
      </c>
      <c r="B3" t="s">
        <v>16</v>
      </c>
      <c r="C3" s="13" t="s">
        <v>14</v>
      </c>
      <c r="D3" t="s">
        <v>15</v>
      </c>
      <c r="E3" s="20">
        <v>23.2</v>
      </c>
      <c r="G3">
        <v>12.7</v>
      </c>
      <c r="H3">
        <f>Table1[[#This Row],[Total electrode weight (mg)]] - IF(ROW()&lt;40, Constants!$B$2 * PI()*(Table1[[#This Row],[Electrode Diameter(mm)]]/(10*2))^2, Constants!$B$4 * PI()*(Table1[[#This Row],[Electrode Diameter(mm)]]/(10*2))^2)</f>
        <v>18.082254461115273</v>
      </c>
      <c r="I3" s="12">
        <f t="shared" ref="I3:I66" si="0">IF(D3="", "", IF(D3="RnD", H3*0.85, IF(D3="Production", H3*0.93, "Invalid")))</f>
        <v>16.816496648837205</v>
      </c>
      <c r="J3">
        <f>Table1[[#This Row],[Coating weight (mg)]]/Constants!$C$2</f>
        <v>14.274314240099063</v>
      </c>
      <c r="K3">
        <f>(Table1[[#This Row],[Coating weight (mg)]]/1000)/(((Table1[[#This Row],[Electrode Thickness(µm)]]-Constants!$E$4)*10^-4)*Constants!$C$4)</f>
        <v>-11.895261866749218</v>
      </c>
    </row>
    <row r="4" spans="1:13" x14ac:dyDescent="0.35">
      <c r="A4" s="28">
        <v>11575</v>
      </c>
      <c r="B4" t="s">
        <v>17</v>
      </c>
      <c r="C4" s="13" t="s">
        <v>14</v>
      </c>
      <c r="D4" t="s">
        <v>15</v>
      </c>
      <c r="E4" s="19">
        <v>22.8</v>
      </c>
      <c r="G4">
        <v>12.7</v>
      </c>
      <c r="H4">
        <f>Table1[[#This Row],[Total electrode weight (mg)]] - IF(ROW()&lt;40, Constants!$B$2 * PI()*(Table1[[#This Row],[Electrode Diameter(mm)]]/(10*2))^2, Constants!$B$4 * PI()*(Table1[[#This Row],[Electrode Diameter(mm)]]/(10*2))^2)</f>
        <v>17.682254461115274</v>
      </c>
      <c r="I4" s="12">
        <f t="shared" si="0"/>
        <v>16.444496648837205</v>
      </c>
      <c r="J4">
        <f>Table1[[#This Row],[Coating weight (mg)]]/Constants!$C$2</f>
        <v>13.958550201476665</v>
      </c>
      <c r="K4">
        <f>(Table1[[#This Row],[Coating weight (mg)]]/1000)/(((Table1[[#This Row],[Electrode Thickness(µm)]]-Constants!$E$4)*10^-4)*Constants!$C$4)</f>
        <v>-11.63212516789722</v>
      </c>
    </row>
    <row r="5" spans="1:13" x14ac:dyDescent="0.35">
      <c r="A5" s="28">
        <v>11614</v>
      </c>
      <c r="B5" t="s">
        <v>18</v>
      </c>
      <c r="C5" s="13" t="s">
        <v>14</v>
      </c>
      <c r="D5" t="s">
        <v>15</v>
      </c>
      <c r="E5" s="20">
        <v>25.4</v>
      </c>
      <c r="G5">
        <v>12.7</v>
      </c>
      <c r="H5">
        <f>Table1[[#This Row],[Total electrode weight (mg)]] - IF(ROW()&lt;40, Constants!$B$2 * PI()*(Table1[[#This Row],[Electrode Diameter(mm)]]/(10*2))^2, Constants!$B$4 * PI()*(Table1[[#This Row],[Electrode Diameter(mm)]]/(10*2))^2)</f>
        <v>20.282254461115272</v>
      </c>
      <c r="I5" s="12">
        <f t="shared" si="0"/>
        <v>18.862496648837205</v>
      </c>
      <c r="J5">
        <f>Table1[[#This Row],[Coating weight (mg)]]/Constants!$C$2</f>
        <v>16.011016452522249</v>
      </c>
      <c r="K5">
        <f>(Table1[[#This Row],[Coating weight (mg)]]/1000)/(((Table1[[#This Row],[Electrode Thickness(µm)]]-Constants!$E$4)*10^-4)*Constants!$C$4)</f>
        <v>-13.342513710435204</v>
      </c>
    </row>
    <row r="6" spans="1:13" x14ac:dyDescent="0.35">
      <c r="A6" s="28">
        <v>11615</v>
      </c>
      <c r="C6" s="13" t="s">
        <v>14</v>
      </c>
      <c r="D6" t="s">
        <v>15</v>
      </c>
      <c r="E6" s="19">
        <v>24.2</v>
      </c>
      <c r="G6">
        <v>12.7</v>
      </c>
      <c r="H6">
        <f>Table1[[#This Row],[Total electrode weight (mg)]] - IF(ROW()&lt;40, Constants!$B$2 * PI()*(Table1[[#This Row],[Electrode Diameter(mm)]]/(10*2))^2, Constants!$B$4 * PI()*(Table1[[#This Row],[Electrode Diameter(mm)]]/(10*2))^2)</f>
        <v>19.082254461115273</v>
      </c>
      <c r="I6" s="12">
        <f t="shared" si="0"/>
        <v>17.746496648837205</v>
      </c>
      <c r="J6">
        <f>Table1[[#This Row],[Coating weight (mg)]]/Constants!$C$2</f>
        <v>15.063724336655056</v>
      </c>
      <c r="K6">
        <f>(Table1[[#This Row],[Coating weight (mg)]]/1000)/(((Table1[[#This Row],[Electrode Thickness(µm)]]-Constants!$E$4)*10^-4)*Constants!$C$4)</f>
        <v>-12.553103613879212</v>
      </c>
    </row>
    <row r="7" spans="1:13" x14ac:dyDescent="0.35">
      <c r="A7" s="28">
        <v>11616</v>
      </c>
      <c r="C7" s="13" t="s">
        <v>14</v>
      </c>
      <c r="D7" t="s">
        <v>15</v>
      </c>
      <c r="E7" s="20">
        <v>24.5</v>
      </c>
      <c r="G7">
        <v>12.7</v>
      </c>
      <c r="H7">
        <f>Table1[[#This Row],[Total electrode weight (mg)]] - IF(ROW()&lt;40, Constants!$B$2 * PI()*(Table1[[#This Row],[Electrode Diameter(mm)]]/(10*2))^2, Constants!$B$4 * PI()*(Table1[[#This Row],[Electrode Diameter(mm)]]/(10*2))^2)</f>
        <v>19.382254461115274</v>
      </c>
      <c r="I7" s="12">
        <f t="shared" si="0"/>
        <v>18.025496648837205</v>
      </c>
      <c r="J7">
        <f>Table1[[#This Row],[Coating weight (mg)]]/Constants!$C$2</f>
        <v>15.300547365621854</v>
      </c>
      <c r="K7">
        <f>(Table1[[#This Row],[Coating weight (mg)]]/1000)/(((Table1[[#This Row],[Electrode Thickness(µm)]]-Constants!$E$4)*10^-4)*Constants!$C$4)</f>
        <v>-12.75045613801821</v>
      </c>
    </row>
    <row r="8" spans="1:13" x14ac:dyDescent="0.35">
      <c r="A8" s="28">
        <v>11617</v>
      </c>
      <c r="C8" s="13" t="s">
        <v>14</v>
      </c>
      <c r="D8" t="s">
        <v>15</v>
      </c>
      <c r="E8" s="19">
        <v>23.6</v>
      </c>
      <c r="G8">
        <v>12.7</v>
      </c>
      <c r="H8">
        <f>Table1[[#This Row],[Total electrode weight (mg)]] - IF(ROW()&lt;40, Constants!$B$2 * PI()*(Table1[[#This Row],[Electrode Diameter(mm)]]/(10*2))^2, Constants!$B$4 * PI()*(Table1[[#This Row],[Electrode Diameter(mm)]]/(10*2))^2)</f>
        <v>18.482254461115275</v>
      </c>
      <c r="I8" s="12">
        <f t="shared" si="0"/>
        <v>17.188496648837205</v>
      </c>
      <c r="J8">
        <f>Table1[[#This Row],[Coating weight (mg)]]/Constants!$C$2</f>
        <v>14.590078278721462</v>
      </c>
      <c r="K8">
        <f>(Table1[[#This Row],[Coating weight (mg)]]/1000)/(((Table1[[#This Row],[Electrode Thickness(µm)]]-Constants!$E$4)*10^-4)*Constants!$C$4)</f>
        <v>-12.158398565601216</v>
      </c>
    </row>
    <row r="9" spans="1:13" x14ac:dyDescent="0.35">
      <c r="A9" s="28">
        <v>11621</v>
      </c>
      <c r="B9" t="s">
        <v>19</v>
      </c>
      <c r="C9" s="13" t="s">
        <v>20</v>
      </c>
      <c r="D9" t="s">
        <v>15</v>
      </c>
      <c r="E9" s="20">
        <v>24.4</v>
      </c>
      <c r="G9">
        <v>12.7</v>
      </c>
      <c r="H9">
        <f>Table1[[#This Row],[Total electrode weight (mg)]] - IF(ROW()&lt;40, Constants!$B$2 * PI()*(Table1[[#This Row],[Electrode Diameter(mm)]]/(10*2))^2, Constants!$B$4 * PI()*(Table1[[#This Row],[Electrode Diameter(mm)]]/(10*2))^2)</f>
        <v>19.282254461115272</v>
      </c>
      <c r="I9" s="12">
        <f t="shared" si="0"/>
        <v>17.932496648837205</v>
      </c>
      <c r="J9">
        <f>Table1[[#This Row],[Coating weight (mg)]]/Constants!$C$2</f>
        <v>15.221606355966255</v>
      </c>
      <c r="K9">
        <f>(Table1[[#This Row],[Coating weight (mg)]]/1000)/(((Table1[[#This Row],[Electrode Thickness(µm)]]-Constants!$E$4)*10^-4)*Constants!$C$4)</f>
        <v>-12.684671963305211</v>
      </c>
    </row>
    <row r="10" spans="1:13" x14ac:dyDescent="0.35">
      <c r="A10" s="28">
        <v>11622</v>
      </c>
      <c r="B10" t="s">
        <v>21</v>
      </c>
      <c r="C10" s="13" t="s">
        <v>20</v>
      </c>
      <c r="D10" t="s">
        <v>15</v>
      </c>
      <c r="E10" s="19">
        <v>23.6</v>
      </c>
      <c r="G10">
        <v>12.7</v>
      </c>
      <c r="H10">
        <f>Table1[[#This Row],[Total electrode weight (mg)]] - IF(ROW()&lt;40, Constants!$B$2 * PI()*(Table1[[#This Row],[Electrode Diameter(mm)]]/(10*2))^2, Constants!$B$4 * PI()*(Table1[[#This Row],[Electrode Diameter(mm)]]/(10*2))^2)</f>
        <v>18.482254461115275</v>
      </c>
      <c r="I10" s="12">
        <f t="shared" si="0"/>
        <v>17.188496648837205</v>
      </c>
      <c r="J10">
        <f>Table1[[#This Row],[Coating weight (mg)]]/Constants!$C$2</f>
        <v>14.590078278721462</v>
      </c>
      <c r="K10">
        <f>(Table1[[#This Row],[Coating weight (mg)]]/1000)/(((Table1[[#This Row],[Electrode Thickness(µm)]]-Constants!$E$4)*10^-4)*Constants!$C$4)</f>
        <v>-12.158398565601216</v>
      </c>
    </row>
    <row r="11" spans="1:13" x14ac:dyDescent="0.35">
      <c r="A11" s="28">
        <v>11623</v>
      </c>
      <c r="B11" t="s">
        <v>22</v>
      </c>
      <c r="C11" s="13" t="s">
        <v>20</v>
      </c>
      <c r="D11" t="s">
        <v>15</v>
      </c>
      <c r="E11" s="21">
        <v>23.9</v>
      </c>
      <c r="G11">
        <v>12.7</v>
      </c>
      <c r="H11">
        <f>Table1[[#This Row],[Total electrode weight (mg)]] - IF(ROW()&lt;40, Constants!$B$2 * PI()*(Table1[[#This Row],[Electrode Diameter(mm)]]/(10*2))^2, Constants!$B$4 * PI()*(Table1[[#This Row],[Electrode Diameter(mm)]]/(10*2))^2)</f>
        <v>18.782254461115272</v>
      </c>
      <c r="I11" s="12">
        <f t="shared" si="0"/>
        <v>17.467496648837205</v>
      </c>
      <c r="J11">
        <f>Table1[[#This Row],[Coating weight (mg)]]/Constants!$C$2</f>
        <v>14.826901307688257</v>
      </c>
      <c r="K11">
        <f>(Table1[[#This Row],[Coating weight (mg)]]/1000)/(((Table1[[#This Row],[Electrode Thickness(µm)]]-Constants!$E$4)*10^-4)*Constants!$C$4)</f>
        <v>-12.355751089740213</v>
      </c>
    </row>
    <row r="12" spans="1:13" x14ac:dyDescent="0.35">
      <c r="A12" s="28">
        <v>11624</v>
      </c>
      <c r="B12" t="s">
        <v>23</v>
      </c>
      <c r="C12" s="13" t="s">
        <v>20</v>
      </c>
      <c r="D12" t="s">
        <v>15</v>
      </c>
      <c r="E12" s="22">
        <v>23.3</v>
      </c>
      <c r="G12">
        <v>12.7</v>
      </c>
      <c r="H12">
        <f>Table1[[#This Row],[Total electrode weight (mg)]] - IF(ROW()&lt;40, Constants!$B$2 * PI()*(Table1[[#This Row],[Electrode Diameter(mm)]]/(10*2))^2, Constants!$B$4 * PI()*(Table1[[#This Row],[Electrode Diameter(mm)]]/(10*2))^2)</f>
        <v>18.182254461115274</v>
      </c>
      <c r="I12" s="12">
        <f t="shared" si="0"/>
        <v>16.909496648837205</v>
      </c>
      <c r="J12">
        <f>Table1[[#This Row],[Coating weight (mg)]]/Constants!$C$2</f>
        <v>14.353255249754662</v>
      </c>
      <c r="K12">
        <f>(Table1[[#This Row],[Coating weight (mg)]]/1000)/(((Table1[[#This Row],[Electrode Thickness(µm)]]-Constants!$E$4)*10^-4)*Constants!$C$4)</f>
        <v>-11.961046041462216</v>
      </c>
    </row>
    <row r="13" spans="1:13" x14ac:dyDescent="0.35">
      <c r="A13" s="28">
        <v>11625</v>
      </c>
      <c r="B13" t="s">
        <v>24</v>
      </c>
      <c r="C13" s="13" t="s">
        <v>20</v>
      </c>
      <c r="D13" t="s">
        <v>15</v>
      </c>
      <c r="E13" s="21">
        <v>24.2</v>
      </c>
      <c r="G13">
        <v>12.7</v>
      </c>
      <c r="H13">
        <f>Table1[[#This Row],[Total electrode weight (mg)]] - IF(ROW()&lt;40, Constants!$B$2 * PI()*(Table1[[#This Row],[Electrode Diameter(mm)]]/(10*2))^2, Constants!$B$4 * PI()*(Table1[[#This Row],[Electrode Diameter(mm)]]/(10*2))^2)</f>
        <v>19.082254461115273</v>
      </c>
      <c r="I13" s="12">
        <f t="shared" si="0"/>
        <v>17.746496648837205</v>
      </c>
      <c r="J13">
        <f>Table1[[#This Row],[Coating weight (mg)]]/Constants!$C$2</f>
        <v>15.063724336655056</v>
      </c>
      <c r="K13">
        <f>(Table1[[#This Row],[Coating weight (mg)]]/1000)/(((Table1[[#This Row],[Electrode Thickness(µm)]]-Constants!$E$4)*10^-4)*Constants!$C$4)</f>
        <v>-12.553103613879212</v>
      </c>
    </row>
    <row r="14" spans="1:13" x14ac:dyDescent="0.35">
      <c r="A14" s="28">
        <v>11644</v>
      </c>
      <c r="B14" t="s">
        <v>18</v>
      </c>
      <c r="C14" s="13" t="s">
        <v>25</v>
      </c>
      <c r="D14" t="s">
        <v>15</v>
      </c>
      <c r="E14" s="21">
        <v>24.1</v>
      </c>
      <c r="G14">
        <v>12.7</v>
      </c>
      <c r="H14">
        <f>Table1[[#This Row],[Total electrode weight (mg)]] - IF(ROW()&lt;40, Constants!$B$2 * PI()*(Table1[[#This Row],[Electrode Diameter(mm)]]/(10*2))^2, Constants!$B$4 * PI()*(Table1[[#This Row],[Electrode Diameter(mm)]]/(10*2))^2)</f>
        <v>18.982254461115275</v>
      </c>
      <c r="I14" s="12">
        <f t="shared" si="0"/>
        <v>17.653496648837208</v>
      </c>
      <c r="J14">
        <f>Table1[[#This Row],[Coating weight (mg)]]/Constants!$C$2</f>
        <v>14.984783326999459</v>
      </c>
      <c r="K14">
        <f>(Table1[[#This Row],[Coating weight (mg)]]/1000)/(((Table1[[#This Row],[Electrode Thickness(µm)]]-Constants!$E$4)*10^-4)*Constants!$C$4)</f>
        <v>-12.487319439166214</v>
      </c>
    </row>
    <row r="15" spans="1:13" x14ac:dyDescent="0.35">
      <c r="A15" s="28">
        <v>11645</v>
      </c>
      <c r="B15" t="s">
        <v>26</v>
      </c>
      <c r="C15" s="13" t="s">
        <v>25</v>
      </c>
      <c r="D15" t="s">
        <v>15</v>
      </c>
      <c r="E15" s="22">
        <v>23.6</v>
      </c>
      <c r="G15">
        <v>12.7</v>
      </c>
      <c r="H15">
        <f>Table1[[#This Row],[Total electrode weight (mg)]] - IF(ROW()&lt;40, Constants!$B$2 * PI()*(Table1[[#This Row],[Electrode Diameter(mm)]]/(10*2))^2, Constants!$B$4 * PI()*(Table1[[#This Row],[Electrode Diameter(mm)]]/(10*2))^2)</f>
        <v>18.482254461115275</v>
      </c>
      <c r="I15" s="12">
        <f t="shared" si="0"/>
        <v>17.188496648837205</v>
      </c>
      <c r="J15">
        <f>Table1[[#This Row],[Coating weight (mg)]]/Constants!$C$2</f>
        <v>14.590078278721462</v>
      </c>
      <c r="K15">
        <f>(Table1[[#This Row],[Coating weight (mg)]]/1000)/(((Table1[[#This Row],[Electrode Thickness(µm)]]-Constants!$E$4)*10^-4)*Constants!$C$4)</f>
        <v>-12.158398565601216</v>
      </c>
    </row>
    <row r="16" spans="1:13" x14ac:dyDescent="0.35">
      <c r="A16" s="28">
        <v>11646</v>
      </c>
      <c r="B16" t="s">
        <v>27</v>
      </c>
      <c r="C16" s="13" t="s">
        <v>25</v>
      </c>
      <c r="D16" t="s">
        <v>15</v>
      </c>
      <c r="E16">
        <v>23.3</v>
      </c>
      <c r="G16">
        <v>12.7</v>
      </c>
      <c r="H16">
        <f>Table1[[#This Row],[Total electrode weight (mg)]] - IF(ROW()&lt;40, Constants!$B$2 * PI()*(Table1[[#This Row],[Electrode Diameter(mm)]]/(10*2))^2, Constants!$B$4 * PI()*(Table1[[#This Row],[Electrode Diameter(mm)]]/(10*2))^2)</f>
        <v>18.182254461115274</v>
      </c>
      <c r="I16" s="12">
        <f t="shared" si="0"/>
        <v>16.909496648837205</v>
      </c>
      <c r="J16">
        <f>Table1[[#This Row],[Coating weight (mg)]]/Constants!$C$2</f>
        <v>14.353255249754662</v>
      </c>
      <c r="K16">
        <f>(Table1[[#This Row],[Coating weight (mg)]]/1000)/(((Table1[[#This Row],[Electrode Thickness(µm)]]-Constants!$E$4)*10^-4)*Constants!$C$4)</f>
        <v>-11.961046041462216</v>
      </c>
    </row>
    <row r="17" spans="1:11" x14ac:dyDescent="0.35">
      <c r="A17" s="28">
        <v>11647</v>
      </c>
      <c r="B17" t="s">
        <v>28</v>
      </c>
      <c r="C17" s="13" t="s">
        <v>25</v>
      </c>
      <c r="D17" t="s">
        <v>15</v>
      </c>
      <c r="E17">
        <v>24</v>
      </c>
      <c r="G17">
        <v>12.7</v>
      </c>
      <c r="H17">
        <f>Table1[[#This Row],[Total electrode weight (mg)]] - IF(ROW()&lt;40, Constants!$B$2 * PI()*(Table1[[#This Row],[Electrode Diameter(mm)]]/(10*2))^2, Constants!$B$4 * PI()*(Table1[[#This Row],[Electrode Diameter(mm)]]/(10*2))^2)</f>
        <v>18.882254461115274</v>
      </c>
      <c r="I17" s="12">
        <f t="shared" si="0"/>
        <v>17.560496648837205</v>
      </c>
      <c r="J17">
        <f>Table1[[#This Row],[Coating weight (mg)]]/Constants!$C$2</f>
        <v>14.905842317343858</v>
      </c>
      <c r="K17">
        <f>(Table1[[#This Row],[Coating weight (mg)]]/1000)/(((Table1[[#This Row],[Electrode Thickness(µm)]]-Constants!$E$4)*10^-4)*Constants!$C$4)</f>
        <v>-12.421535264453212</v>
      </c>
    </row>
    <row r="18" spans="1:11" x14ac:dyDescent="0.35">
      <c r="A18" s="28">
        <v>11668</v>
      </c>
      <c r="B18" t="s">
        <v>23</v>
      </c>
      <c r="C18" s="13" t="s">
        <v>29</v>
      </c>
      <c r="D18" t="s">
        <v>15</v>
      </c>
      <c r="E18">
        <v>41.1</v>
      </c>
      <c r="G18">
        <v>12.7</v>
      </c>
      <c r="H18">
        <f>Table1[[#This Row],[Total electrode weight (mg)]] - IF(ROW()&lt;40, Constants!$B$2 * PI()*(Table1[[#This Row],[Electrode Diameter(mm)]]/(10*2))^2, Constants!$B$4 * PI()*(Table1[[#This Row],[Electrode Diameter(mm)]]/(10*2))^2)</f>
        <v>35.982254461115275</v>
      </c>
      <c r="I18" s="12">
        <f t="shared" si="0"/>
        <v>33.463496648837207</v>
      </c>
      <c r="J18">
        <f>Table1[[#This Row],[Coating weight (mg)]]/Constants!$C$2</f>
        <v>28.404754968451357</v>
      </c>
      <c r="K18">
        <f>(Table1[[#This Row],[Coating weight (mg)]]/1000)/(((Table1[[#This Row],[Electrode Thickness(µm)]]-Constants!$E$4)*10^-4)*Constants!$C$4)</f>
        <v>-23.670629140376128</v>
      </c>
    </row>
    <row r="19" spans="1:11" x14ac:dyDescent="0.35">
      <c r="A19" s="28">
        <v>11669</v>
      </c>
      <c r="B19" t="s">
        <v>19</v>
      </c>
      <c r="C19" s="13" t="s">
        <v>29</v>
      </c>
      <c r="D19" t="s">
        <v>15</v>
      </c>
      <c r="E19">
        <v>43.7</v>
      </c>
      <c r="G19">
        <v>12.7</v>
      </c>
      <c r="H19">
        <f>Table1[[#This Row],[Total electrode weight (mg)]] - IF(ROW()&lt;40, Constants!$B$2 * PI()*(Table1[[#This Row],[Electrode Diameter(mm)]]/(10*2))^2, Constants!$B$4 * PI()*(Table1[[#This Row],[Electrode Diameter(mm)]]/(10*2))^2)</f>
        <v>38.582254461115276</v>
      </c>
      <c r="I19" s="12">
        <f t="shared" si="0"/>
        <v>35.881496648837206</v>
      </c>
      <c r="J19">
        <f>Table1[[#This Row],[Coating weight (mg)]]/Constants!$C$2</f>
        <v>30.457221219496944</v>
      </c>
      <c r="K19">
        <f>(Table1[[#This Row],[Coating weight (mg)]]/1000)/(((Table1[[#This Row],[Electrode Thickness(µm)]]-Constants!$E$4)*10^-4)*Constants!$C$4)</f>
        <v>-25.381017682914116</v>
      </c>
    </row>
    <row r="20" spans="1:11" x14ac:dyDescent="0.35">
      <c r="A20" s="28">
        <v>11670</v>
      </c>
      <c r="B20" t="s">
        <v>30</v>
      </c>
      <c r="C20" s="13" t="s">
        <v>29</v>
      </c>
      <c r="D20" t="s">
        <v>15</v>
      </c>
      <c r="E20">
        <v>42.3</v>
      </c>
      <c r="G20">
        <v>12.7</v>
      </c>
      <c r="H20">
        <f>Table1[[#This Row],[Total electrode weight (mg)]] - IF(ROW()&lt;40, Constants!$B$2 * PI()*(Table1[[#This Row],[Electrode Diameter(mm)]]/(10*2))^2, Constants!$B$4 * PI()*(Table1[[#This Row],[Electrode Diameter(mm)]]/(10*2))^2)</f>
        <v>37.182254461115271</v>
      </c>
      <c r="I20" s="12">
        <f t="shared" si="0"/>
        <v>34.579496648837207</v>
      </c>
      <c r="J20">
        <f>Table1[[#This Row],[Coating weight (mg)]]/Constants!$C$2</f>
        <v>29.352047084318546</v>
      </c>
      <c r="K20">
        <f>(Table1[[#This Row],[Coating weight (mg)]]/1000)/(((Table1[[#This Row],[Electrode Thickness(µm)]]-Constants!$E$4)*10^-4)*Constants!$C$4)</f>
        <v>-24.460039236932118</v>
      </c>
    </row>
    <row r="21" spans="1:11" x14ac:dyDescent="0.35">
      <c r="A21" s="28">
        <v>11671</v>
      </c>
      <c r="B21" t="s">
        <v>31</v>
      </c>
      <c r="C21" s="13" t="s">
        <v>29</v>
      </c>
      <c r="D21" t="s">
        <v>15</v>
      </c>
      <c r="E21">
        <v>39.1</v>
      </c>
      <c r="G21">
        <v>12.7</v>
      </c>
      <c r="H21">
        <f>Table1[[#This Row],[Total electrode weight (mg)]] - IF(ROW()&lt;40, Constants!$B$2 * PI()*(Table1[[#This Row],[Electrode Diameter(mm)]]/(10*2))^2, Constants!$B$4 * PI()*(Table1[[#This Row],[Electrode Diameter(mm)]]/(10*2))^2)</f>
        <v>33.982254461115275</v>
      </c>
      <c r="I21" s="12">
        <f t="shared" si="0"/>
        <v>31.603496648837208</v>
      </c>
      <c r="J21">
        <f>Table1[[#This Row],[Coating weight (mg)]]/Constants!$C$2</f>
        <v>26.82593477533937</v>
      </c>
      <c r="K21">
        <f>(Table1[[#This Row],[Coating weight (mg)]]/1000)/(((Table1[[#This Row],[Electrode Thickness(µm)]]-Constants!$E$4)*10^-4)*Constants!$C$4)</f>
        <v>-22.354945646116139</v>
      </c>
    </row>
    <row r="22" spans="1:11" x14ac:dyDescent="0.35">
      <c r="A22" s="28">
        <v>11672</v>
      </c>
      <c r="B22" t="s">
        <v>32</v>
      </c>
      <c r="C22" s="13" t="s">
        <v>33</v>
      </c>
      <c r="D22" t="s">
        <v>15</v>
      </c>
      <c r="E22">
        <v>18.7</v>
      </c>
      <c r="G22">
        <v>12.7</v>
      </c>
      <c r="H22">
        <f>Table1[[#This Row],[Total electrode weight (mg)]] - IF(ROW()&lt;40, Constants!$B$2 * PI()*(Table1[[#This Row],[Electrode Diameter(mm)]]/(10*2))^2, Constants!$B$4 * PI()*(Table1[[#This Row],[Electrode Diameter(mm)]]/(10*2))^2)</f>
        <v>13.582254461115273</v>
      </c>
      <c r="I22" s="12">
        <f t="shared" si="0"/>
        <v>12.631496648837205</v>
      </c>
      <c r="J22">
        <f>Table1[[#This Row],[Coating weight (mg)]]/Constants!$C$2</f>
        <v>10.721968805597088</v>
      </c>
      <c r="K22">
        <f>(Table1[[#This Row],[Coating weight (mg)]]/1000)/(((Table1[[#This Row],[Electrode Thickness(µm)]]-Constants!$E$4)*10^-4)*Constants!$C$4)</f>
        <v>-8.9349740046642392</v>
      </c>
    </row>
    <row r="23" spans="1:11" x14ac:dyDescent="0.35">
      <c r="A23" s="28">
        <v>11673</v>
      </c>
      <c r="B23" t="s">
        <v>34</v>
      </c>
      <c r="C23" s="13" t="s">
        <v>33</v>
      </c>
      <c r="D23" t="s">
        <v>15</v>
      </c>
      <c r="E23">
        <v>19.3</v>
      </c>
      <c r="G23">
        <v>12.7</v>
      </c>
      <c r="H23">
        <f>Table1[[#This Row],[Total electrode weight (mg)]] - IF(ROW()&lt;40, Constants!$B$2 * PI()*(Table1[[#This Row],[Electrode Diameter(mm)]]/(10*2))^2, Constants!$B$4 * PI()*(Table1[[#This Row],[Electrode Diameter(mm)]]/(10*2))^2)</f>
        <v>14.182254461115274</v>
      </c>
      <c r="I23" s="12">
        <f t="shared" si="0"/>
        <v>13.189496648837206</v>
      </c>
      <c r="J23">
        <f>Table1[[#This Row],[Coating weight (mg)]]/Constants!$C$2</f>
        <v>11.195614863530686</v>
      </c>
      <c r="K23">
        <f>(Table1[[#This Row],[Coating weight (mg)]]/1000)/(((Table1[[#This Row],[Electrode Thickness(µm)]]-Constants!$E$4)*10^-4)*Constants!$C$4)</f>
        <v>-9.3296790529422378</v>
      </c>
    </row>
    <row r="24" spans="1:11" x14ac:dyDescent="0.35">
      <c r="A24" s="28">
        <v>11674</v>
      </c>
      <c r="B24" t="s">
        <v>35</v>
      </c>
      <c r="C24" s="13" t="s">
        <v>33</v>
      </c>
      <c r="D24" t="s">
        <v>15</v>
      </c>
      <c r="E24">
        <v>17.8</v>
      </c>
      <c r="G24">
        <v>12.7</v>
      </c>
      <c r="H24">
        <f>Table1[[#This Row],[Total electrode weight (mg)]] - IF(ROW()&lt;40, Constants!$B$2 * PI()*(Table1[[#This Row],[Electrode Diameter(mm)]]/(10*2))^2, Constants!$B$4 * PI()*(Table1[[#This Row],[Electrode Diameter(mm)]]/(10*2))^2)</f>
        <v>12.682254461115274</v>
      </c>
      <c r="I24" s="12">
        <f t="shared" si="0"/>
        <v>11.794496648837205</v>
      </c>
      <c r="J24">
        <f>Table1[[#This Row],[Coating weight (mg)]]/Constants!$C$2</f>
        <v>10.011499718696696</v>
      </c>
      <c r="K24">
        <f>(Table1[[#This Row],[Coating weight (mg)]]/1000)/(((Table1[[#This Row],[Electrode Thickness(µm)]]-Constants!$E$4)*10^-4)*Constants!$C$4)</f>
        <v>-8.3429164322472449</v>
      </c>
    </row>
    <row r="25" spans="1:11" x14ac:dyDescent="0.35">
      <c r="A25" s="28">
        <v>11675</v>
      </c>
      <c r="B25" t="s">
        <v>36</v>
      </c>
      <c r="C25" s="13" t="s">
        <v>33</v>
      </c>
      <c r="D25" t="s">
        <v>15</v>
      </c>
      <c r="E25">
        <v>17.8</v>
      </c>
      <c r="G25">
        <v>12.7</v>
      </c>
      <c r="H25">
        <f>Table1[[#This Row],[Total electrode weight (mg)]] - IF(ROW()&lt;40, Constants!$B$2 * PI()*(Table1[[#This Row],[Electrode Diameter(mm)]]/(10*2))^2, Constants!$B$4 * PI()*(Table1[[#This Row],[Electrode Diameter(mm)]]/(10*2))^2)</f>
        <v>12.682254461115274</v>
      </c>
      <c r="I25" s="12">
        <f t="shared" si="0"/>
        <v>11.794496648837205</v>
      </c>
      <c r="J25">
        <f>Table1[[#This Row],[Coating weight (mg)]]/Constants!$C$2</f>
        <v>10.011499718696696</v>
      </c>
      <c r="K25">
        <f>(Table1[[#This Row],[Coating weight (mg)]]/1000)/(((Table1[[#This Row],[Electrode Thickness(µm)]]-Constants!$E$4)*10^-4)*Constants!$C$4)</f>
        <v>-8.3429164322472449</v>
      </c>
    </row>
    <row r="26" spans="1:11" x14ac:dyDescent="0.35">
      <c r="A26" s="28">
        <v>11676</v>
      </c>
      <c r="B26" t="s">
        <v>37</v>
      </c>
      <c r="C26" s="13" t="s">
        <v>38</v>
      </c>
      <c r="D26" t="s">
        <v>15</v>
      </c>
      <c r="E26">
        <v>11.6</v>
      </c>
      <c r="G26">
        <v>12.7</v>
      </c>
      <c r="H26">
        <f>Table1[[#This Row],[Total electrode weight (mg)]] - IF(ROW()&lt;40, Constants!$B$2 * PI()*(Table1[[#This Row],[Electrode Diameter(mm)]]/(10*2))^2, Constants!$B$4 * PI()*(Table1[[#This Row],[Electrode Diameter(mm)]]/(10*2))^2)</f>
        <v>6.4822544611152733</v>
      </c>
      <c r="I26" s="12">
        <f t="shared" si="0"/>
        <v>6.028496648837204</v>
      </c>
      <c r="J26">
        <f>Table1[[#This Row],[Coating weight (mg)]]/Constants!$C$2</f>
        <v>5.1171571200495309</v>
      </c>
      <c r="K26">
        <f>(Table1[[#This Row],[Coating weight (mg)]]/1000)/(((Table1[[#This Row],[Electrode Thickness(µm)]]-Constants!$E$4)*10^-4)*Constants!$C$4)</f>
        <v>-4.2642976000412753</v>
      </c>
    </row>
    <row r="27" spans="1:11" x14ac:dyDescent="0.35">
      <c r="A27" s="28">
        <v>11677</v>
      </c>
      <c r="B27" t="s">
        <v>39</v>
      </c>
      <c r="C27" s="13" t="s">
        <v>38</v>
      </c>
      <c r="D27" t="s">
        <v>15</v>
      </c>
      <c r="E27">
        <v>11.3</v>
      </c>
      <c r="G27">
        <v>12.7</v>
      </c>
      <c r="H27">
        <f>Table1[[#This Row],[Total electrode weight (mg)]] - IF(ROW()&lt;40, Constants!$B$2 * PI()*(Table1[[#This Row],[Electrode Diameter(mm)]]/(10*2))^2, Constants!$B$4 * PI()*(Table1[[#This Row],[Electrode Diameter(mm)]]/(10*2))^2)</f>
        <v>6.1822544611152743</v>
      </c>
      <c r="I27" s="12">
        <f t="shared" si="0"/>
        <v>5.749496648837205</v>
      </c>
      <c r="J27">
        <f>Table1[[#This Row],[Coating weight (mg)]]/Constants!$C$2</f>
        <v>4.8803340910827337</v>
      </c>
      <c r="K27">
        <f>(Table1[[#This Row],[Coating weight (mg)]]/1000)/(((Table1[[#This Row],[Electrode Thickness(µm)]]-Constants!$E$4)*10^-4)*Constants!$C$4)</f>
        <v>-4.0669450759022778</v>
      </c>
    </row>
    <row r="28" spans="1:11" x14ac:dyDescent="0.35">
      <c r="A28" s="28">
        <v>11678</v>
      </c>
      <c r="B28" t="s">
        <v>40</v>
      </c>
      <c r="C28" s="13" t="s">
        <v>38</v>
      </c>
      <c r="D28" t="s">
        <v>15</v>
      </c>
      <c r="E28">
        <v>11.4</v>
      </c>
      <c r="G28">
        <v>12.7</v>
      </c>
      <c r="H28">
        <f>Table1[[#This Row],[Total electrode weight (mg)]] - IF(ROW()&lt;40, Constants!$B$2 * PI()*(Table1[[#This Row],[Electrode Diameter(mm)]]/(10*2))^2, Constants!$B$4 * PI()*(Table1[[#This Row],[Electrode Diameter(mm)]]/(10*2))^2)</f>
        <v>6.282254461115274</v>
      </c>
      <c r="I28" s="12">
        <f t="shared" si="0"/>
        <v>5.842496648837205</v>
      </c>
      <c r="J28">
        <f>Table1[[#This Row],[Coating weight (mg)]]/Constants!$C$2</f>
        <v>4.9592751007383331</v>
      </c>
      <c r="K28">
        <f>(Table1[[#This Row],[Coating weight (mg)]]/1000)/(((Table1[[#This Row],[Electrode Thickness(µm)]]-Constants!$E$4)*10^-4)*Constants!$C$4)</f>
        <v>-4.1327292506152764</v>
      </c>
    </row>
    <row r="29" spans="1:11" x14ac:dyDescent="0.35">
      <c r="A29" s="28">
        <v>11679</v>
      </c>
      <c r="B29" t="s">
        <v>41</v>
      </c>
      <c r="C29" s="13" t="s">
        <v>38</v>
      </c>
      <c r="D29" t="s">
        <v>15</v>
      </c>
      <c r="E29">
        <v>11.9</v>
      </c>
      <c r="G29">
        <v>12.7</v>
      </c>
      <c r="H29">
        <f>Table1[[#This Row],[Total electrode weight (mg)]] - IF(ROW()&lt;40, Constants!$B$2 * PI()*(Table1[[#This Row],[Electrode Diameter(mm)]]/(10*2))^2, Constants!$B$4 * PI()*(Table1[[#This Row],[Electrode Diameter(mm)]]/(10*2))^2)</f>
        <v>6.782254461115274</v>
      </c>
      <c r="I29" s="12">
        <f t="shared" si="0"/>
        <v>6.3074966488372048</v>
      </c>
      <c r="J29">
        <f>Table1[[#This Row],[Coating weight (mg)]]/Constants!$C$2</f>
        <v>5.3539801490163299</v>
      </c>
      <c r="K29">
        <f>(Table1[[#This Row],[Coating weight (mg)]]/1000)/(((Table1[[#This Row],[Electrode Thickness(µm)]]-Constants!$E$4)*10^-4)*Constants!$C$4)</f>
        <v>-4.4616501241802746</v>
      </c>
    </row>
    <row r="30" spans="1:11" x14ac:dyDescent="0.35">
      <c r="A30" s="28">
        <v>11680</v>
      </c>
      <c r="B30" t="s">
        <v>42</v>
      </c>
      <c r="C30" s="13" t="s">
        <v>43</v>
      </c>
      <c r="D30" t="s">
        <v>15</v>
      </c>
      <c r="E30">
        <v>23.2</v>
      </c>
      <c r="G30">
        <v>12.7</v>
      </c>
      <c r="H30">
        <f>Table1[[#This Row],[Total electrode weight (mg)]] - IF(ROW()&lt;40, Constants!$B$2 * PI()*(Table1[[#This Row],[Electrode Diameter(mm)]]/(10*2))^2, Constants!$B$4 * PI()*(Table1[[#This Row],[Electrode Diameter(mm)]]/(10*2))^2)</f>
        <v>18.082254461115273</v>
      </c>
      <c r="I30" s="12">
        <f t="shared" si="0"/>
        <v>16.816496648837205</v>
      </c>
      <c r="J30">
        <f>Table1[[#This Row],[Coating weight (mg)]]/Constants!$C$2</f>
        <v>14.274314240099063</v>
      </c>
      <c r="K30">
        <f>(Table1[[#This Row],[Coating weight (mg)]]/1000)/(((Table1[[#This Row],[Electrode Thickness(µm)]]-Constants!$E$4)*10^-4)*Constants!$C$4)</f>
        <v>-11.895261866749218</v>
      </c>
    </row>
    <row r="31" spans="1:11" x14ac:dyDescent="0.35">
      <c r="A31" s="28">
        <v>11681</v>
      </c>
      <c r="B31" t="s">
        <v>16</v>
      </c>
      <c r="C31" s="13" t="s">
        <v>43</v>
      </c>
      <c r="D31" t="s">
        <v>15</v>
      </c>
      <c r="E31">
        <v>24.1</v>
      </c>
      <c r="G31">
        <v>12.7</v>
      </c>
      <c r="H31">
        <f>Table1[[#This Row],[Total electrode weight (mg)]] - IF(ROW()&lt;40, Constants!$B$2 * PI()*(Table1[[#This Row],[Electrode Diameter(mm)]]/(10*2))^2, Constants!$B$4 * PI()*(Table1[[#This Row],[Electrode Diameter(mm)]]/(10*2))^2)</f>
        <v>18.982254461115275</v>
      </c>
      <c r="I31" s="12">
        <f t="shared" si="0"/>
        <v>17.653496648837208</v>
      </c>
      <c r="J31">
        <f>Table1[[#This Row],[Coating weight (mg)]]/Constants!$C$2</f>
        <v>14.984783326999459</v>
      </c>
      <c r="K31">
        <f>(Table1[[#This Row],[Coating weight (mg)]]/1000)/(((Table1[[#This Row],[Electrode Thickness(µm)]]-Constants!$E$4)*10^-4)*Constants!$C$4)</f>
        <v>-12.487319439166214</v>
      </c>
    </row>
    <row r="32" spans="1:11" x14ac:dyDescent="0.35">
      <c r="A32" s="28">
        <v>11682</v>
      </c>
      <c r="B32" t="s">
        <v>44</v>
      </c>
      <c r="C32" s="13" t="s">
        <v>43</v>
      </c>
      <c r="D32" t="s">
        <v>15</v>
      </c>
      <c r="E32">
        <v>24.8</v>
      </c>
      <c r="G32">
        <v>12.7</v>
      </c>
      <c r="H32">
        <f>Table1[[#This Row],[Total electrode weight (mg)]] - IF(ROW()&lt;40, Constants!$B$2 * PI()*(Table1[[#This Row],[Electrode Diameter(mm)]]/(10*2))^2, Constants!$B$4 * PI()*(Table1[[#This Row],[Electrode Diameter(mm)]]/(10*2))^2)</f>
        <v>19.682254461115274</v>
      </c>
      <c r="I32" s="12">
        <f t="shared" si="0"/>
        <v>18.304496648837205</v>
      </c>
      <c r="J32">
        <f>Table1[[#This Row],[Coating weight (mg)]]/Constants!$C$2</f>
        <v>15.537370394588654</v>
      </c>
      <c r="K32">
        <f>(Table1[[#This Row],[Coating weight (mg)]]/1000)/(((Table1[[#This Row],[Electrode Thickness(µm)]]-Constants!$E$4)*10^-4)*Constants!$C$4)</f>
        <v>-12.947808662157209</v>
      </c>
    </row>
    <row r="33" spans="1:11" x14ac:dyDescent="0.35">
      <c r="A33" s="28">
        <v>11683</v>
      </c>
      <c r="B33" t="s">
        <v>45</v>
      </c>
      <c r="C33" s="13" t="s">
        <v>43</v>
      </c>
      <c r="D33" t="s">
        <v>15</v>
      </c>
      <c r="E33">
        <v>21.7</v>
      </c>
      <c r="G33">
        <v>12.7</v>
      </c>
      <c r="H33">
        <f>Table1[[#This Row],[Total electrode weight (mg)]] - IF(ROW()&lt;40, Constants!$B$2 * PI()*(Table1[[#This Row],[Electrode Diameter(mm)]]/(10*2))^2, Constants!$B$4 * PI()*(Table1[[#This Row],[Electrode Diameter(mm)]]/(10*2))^2)</f>
        <v>16.582254461115273</v>
      </c>
      <c r="I33" s="12">
        <f t="shared" si="0"/>
        <v>15.421496648837204</v>
      </c>
      <c r="J33">
        <f>Table1[[#This Row],[Coating weight (mg)]]/Constants!$C$2</f>
        <v>13.090199095265071</v>
      </c>
      <c r="K33">
        <f>(Table1[[#This Row],[Coating weight (mg)]]/1000)/(((Table1[[#This Row],[Electrode Thickness(µm)]]-Constants!$E$4)*10^-4)*Constants!$C$4)</f>
        <v>-10.908499246054223</v>
      </c>
    </row>
    <row r="34" spans="1:11" x14ac:dyDescent="0.35">
      <c r="A34" s="28">
        <v>11684</v>
      </c>
      <c r="B34" t="s">
        <v>46</v>
      </c>
      <c r="C34" s="13" t="s">
        <v>43</v>
      </c>
      <c r="D34" t="s">
        <v>15</v>
      </c>
      <c r="E34">
        <v>24.3</v>
      </c>
      <c r="G34">
        <v>12.7</v>
      </c>
      <c r="H34">
        <f>Table1[[#This Row],[Total electrode weight (mg)]] - IF(ROW()&lt;40, Constants!$B$2 * PI()*(Table1[[#This Row],[Electrode Diameter(mm)]]/(10*2))^2, Constants!$B$4 * PI()*(Table1[[#This Row],[Electrode Diameter(mm)]]/(10*2))^2)</f>
        <v>19.182254461115274</v>
      </c>
      <c r="I34" s="12">
        <f t="shared" si="0"/>
        <v>17.839496648837205</v>
      </c>
      <c r="J34">
        <f>Table1[[#This Row],[Coating weight (mg)]]/Constants!$C$2</f>
        <v>15.142665346310658</v>
      </c>
      <c r="K34">
        <f>(Table1[[#This Row],[Coating weight (mg)]]/1000)/(((Table1[[#This Row],[Electrode Thickness(µm)]]-Constants!$E$4)*10^-4)*Constants!$C$4)</f>
        <v>-12.618887788592211</v>
      </c>
    </row>
    <row r="35" spans="1:11" x14ac:dyDescent="0.35">
      <c r="A35" s="28">
        <v>11685</v>
      </c>
      <c r="B35" t="s">
        <v>42</v>
      </c>
      <c r="C35" s="13" t="s">
        <v>43</v>
      </c>
      <c r="D35" t="s">
        <v>15</v>
      </c>
      <c r="E35">
        <v>22.8</v>
      </c>
      <c r="G35">
        <v>12.7</v>
      </c>
      <c r="H35">
        <f>Table1[[#This Row],[Total electrode weight (mg)]] - IF(ROW()&lt;40, Constants!$B$2 * PI()*(Table1[[#This Row],[Electrode Diameter(mm)]]/(10*2))^2, Constants!$B$4 * PI()*(Table1[[#This Row],[Electrode Diameter(mm)]]/(10*2))^2)</f>
        <v>17.682254461115274</v>
      </c>
      <c r="I35" s="12">
        <f t="shared" si="0"/>
        <v>16.444496648837205</v>
      </c>
      <c r="J35">
        <f>Table1[[#This Row],[Coating weight (mg)]]/Constants!$C$2</f>
        <v>13.958550201476665</v>
      </c>
      <c r="K35">
        <f>(Table1[[#This Row],[Coating weight (mg)]]/1000)/(((Table1[[#This Row],[Electrode Thickness(µm)]]-Constants!$E$4)*10^-4)*Constants!$C$4)</f>
        <v>-11.63212516789722</v>
      </c>
    </row>
    <row r="36" spans="1:11" x14ac:dyDescent="0.35">
      <c r="A36" s="28">
        <v>11686</v>
      </c>
      <c r="B36" t="s">
        <v>47</v>
      </c>
      <c r="C36" s="13" t="s">
        <v>43</v>
      </c>
      <c r="D36" t="s">
        <v>15</v>
      </c>
      <c r="E36">
        <v>22.8</v>
      </c>
      <c r="G36">
        <v>12.7</v>
      </c>
      <c r="H36">
        <f>Table1[[#This Row],[Total electrode weight (mg)]] - IF(ROW()&lt;40, Constants!$B$2 * PI()*(Table1[[#This Row],[Electrode Diameter(mm)]]/(10*2))^2, Constants!$B$4 * PI()*(Table1[[#This Row],[Electrode Diameter(mm)]]/(10*2))^2)</f>
        <v>17.682254461115274</v>
      </c>
      <c r="I36" s="12">
        <f t="shared" si="0"/>
        <v>16.444496648837205</v>
      </c>
      <c r="J36">
        <f>Table1[[#This Row],[Coating weight (mg)]]/Constants!$C$2</f>
        <v>13.958550201476665</v>
      </c>
      <c r="K36">
        <f>(Table1[[#This Row],[Coating weight (mg)]]/1000)/(((Table1[[#This Row],[Electrode Thickness(µm)]]-Constants!$E$4)*10^-4)*Constants!$C$4)</f>
        <v>-11.63212516789722</v>
      </c>
    </row>
    <row r="37" spans="1:11" x14ac:dyDescent="0.35">
      <c r="A37" s="28">
        <v>11687</v>
      </c>
      <c r="B37" t="s">
        <v>39</v>
      </c>
      <c r="C37" s="13" t="s">
        <v>43</v>
      </c>
      <c r="D37" t="s">
        <v>15</v>
      </c>
      <c r="E37">
        <v>22.5</v>
      </c>
      <c r="G37">
        <v>12.7</v>
      </c>
      <c r="H37">
        <f>Table1[[#This Row],[Total electrode weight (mg)]] - IF(ROW()&lt;40, Constants!$B$2 * PI()*(Table1[[#This Row],[Electrode Diameter(mm)]]/(10*2))^2, Constants!$B$4 * PI()*(Table1[[#This Row],[Electrode Diameter(mm)]]/(10*2))^2)</f>
        <v>17.382254461115274</v>
      </c>
      <c r="I37" s="12">
        <f t="shared" si="0"/>
        <v>16.165496648837205</v>
      </c>
      <c r="J37">
        <f>Table1[[#This Row],[Coating weight (mg)]]/Constants!$C$2</f>
        <v>13.721727172509867</v>
      </c>
      <c r="K37">
        <f>(Table1[[#This Row],[Coating weight (mg)]]/1000)/(((Table1[[#This Row],[Electrode Thickness(µm)]]-Constants!$E$4)*10^-4)*Constants!$C$4)</f>
        <v>-11.434772643758221</v>
      </c>
    </row>
    <row r="38" spans="1:11" x14ac:dyDescent="0.35">
      <c r="A38" s="28">
        <v>11692</v>
      </c>
      <c r="B38" t="s">
        <v>18</v>
      </c>
      <c r="C38" s="13" t="s">
        <v>48</v>
      </c>
      <c r="E38">
        <v>10</v>
      </c>
      <c r="G38">
        <v>12.7</v>
      </c>
      <c r="H38">
        <f>Table1[[#This Row],[Total electrode weight (mg)]] - IF(ROW()&lt;40, Constants!$B$2 * PI()*(Table1[[#This Row],[Electrode Diameter(mm)]]/(10*2))^2, Constants!$B$4 * PI()*(Table1[[#This Row],[Electrode Diameter(mm)]]/(10*2))^2)</f>
        <v>4.8822544611152736</v>
      </c>
      <c r="I38" s="12" t="str">
        <f t="shared" si="0"/>
        <v/>
      </c>
      <c r="J38">
        <f>Table1[[#This Row],[Coating weight (mg)]]/Constants!$C$2</f>
        <v>3.8541009655599408</v>
      </c>
      <c r="K38">
        <f>(Table1[[#This Row],[Coating weight (mg)]]/1000)/(((Table1[[#This Row],[Electrode Thickness(µm)]]-Constants!$E$4)*10^-4)*Constants!$C$4)</f>
        <v>-3.2117508046332834</v>
      </c>
    </row>
    <row r="39" spans="1:11" x14ac:dyDescent="0.35">
      <c r="A39" s="28">
        <v>11693</v>
      </c>
      <c r="B39" t="s">
        <v>28</v>
      </c>
      <c r="E39">
        <v>24.2</v>
      </c>
      <c r="G39">
        <v>12.7</v>
      </c>
      <c r="H39">
        <f>Table1[[#This Row],[Total electrode weight (mg)]] - IF(ROW()&lt;40, Constants!$B$2 * PI()*(Table1[[#This Row],[Electrode Diameter(mm)]]/(10*2))^2, Constants!$B$4 * PI()*(Table1[[#This Row],[Electrode Diameter(mm)]]/(10*2))^2)</f>
        <v>19.082254461115273</v>
      </c>
      <c r="I39" s="12" t="str">
        <f t="shared" si="0"/>
        <v/>
      </c>
      <c r="J39">
        <f>Table1[[#This Row],[Coating weight (mg)]]/Constants!$C$2</f>
        <v>15.063724336655056</v>
      </c>
      <c r="K39">
        <f>(Table1[[#This Row],[Coating weight (mg)]]/1000)/(((Table1[[#This Row],[Electrode Thickness(µm)]]-Constants!$E$4)*10^-4)*Constants!$C$4)</f>
        <v>-12.553103613879212</v>
      </c>
    </row>
    <row r="40" spans="1:11" x14ac:dyDescent="0.35">
      <c r="A40" s="28">
        <v>11697</v>
      </c>
      <c r="B40" t="s">
        <v>49</v>
      </c>
      <c r="C40" s="13" t="s">
        <v>50</v>
      </c>
      <c r="D40" t="s">
        <v>15</v>
      </c>
      <c r="E40">
        <v>20.7</v>
      </c>
      <c r="G40">
        <v>12.7</v>
      </c>
      <c r="H40">
        <f>Table1[[#This Row],[Total electrode weight (mg)]] - IF(ROW()&lt;40, Constants!$B$2 * PI()*(Table1[[#This Row],[Electrode Diameter(mm)]]/(10*2))^2, Constants!$B$4 * PI()*(Table1[[#This Row],[Electrode Diameter(mm)]]/(10*2))^2)</f>
        <v>16.645073398522275</v>
      </c>
      <c r="I40" s="12">
        <f t="shared" si="0"/>
        <v>15.479918260625716</v>
      </c>
      <c r="J40">
        <f>Table1[[#This Row],[Coating weight (mg)]]/Constants!$C$2</f>
        <v>13.139788998709077</v>
      </c>
      <c r="K40">
        <f>(Table1[[#This Row],[Coating weight (mg)]]/1000)/(((Table1[[#This Row],[Electrode Thickness(µm)]]-Constants!$E$4)*10^-4)*Constants!$C$4)</f>
        <v>-10.949824165590895</v>
      </c>
    </row>
    <row r="41" spans="1:11" x14ac:dyDescent="0.35">
      <c r="A41" s="28">
        <v>11698</v>
      </c>
      <c r="B41" t="s">
        <v>51</v>
      </c>
      <c r="C41" s="13" t="s">
        <v>50</v>
      </c>
      <c r="D41" t="s">
        <v>15</v>
      </c>
      <c r="E41">
        <v>20.7</v>
      </c>
      <c r="G41">
        <v>12.7</v>
      </c>
      <c r="H41">
        <f>Table1[[#This Row],[Total electrode weight (mg)]] - IF(ROW()&lt;40, Constants!$B$2 * PI()*(Table1[[#This Row],[Electrode Diameter(mm)]]/(10*2))^2, Constants!$B$4 * PI()*(Table1[[#This Row],[Electrode Diameter(mm)]]/(10*2))^2)</f>
        <v>16.645073398522275</v>
      </c>
      <c r="I41" s="12">
        <f t="shared" si="0"/>
        <v>15.479918260625716</v>
      </c>
      <c r="J41">
        <f>Table1[[#This Row],[Coating weight (mg)]]/Constants!$C$2</f>
        <v>13.139788998709077</v>
      </c>
      <c r="K41">
        <f>(Table1[[#This Row],[Coating weight (mg)]]/1000)/(((Table1[[#This Row],[Electrode Thickness(µm)]]-Constants!$E$4)*10^-4)*Constants!$C$4)</f>
        <v>-10.949824165590895</v>
      </c>
    </row>
    <row r="42" spans="1:11" x14ac:dyDescent="0.35">
      <c r="A42" s="28">
        <v>11699</v>
      </c>
      <c r="B42" t="s">
        <v>52</v>
      </c>
      <c r="C42" s="13" t="s">
        <v>50</v>
      </c>
      <c r="D42" t="s">
        <v>15</v>
      </c>
      <c r="E42">
        <v>20.9</v>
      </c>
      <c r="G42">
        <v>12.7</v>
      </c>
      <c r="H42">
        <f>Table1[[#This Row],[Total electrode weight (mg)]] - IF(ROW()&lt;40, Constants!$B$2 * PI()*(Table1[[#This Row],[Electrode Diameter(mm)]]/(10*2))^2, Constants!$B$4 * PI()*(Table1[[#This Row],[Electrode Diameter(mm)]]/(10*2))^2)</f>
        <v>16.845073398522274</v>
      </c>
      <c r="I42" s="12">
        <f t="shared" si="0"/>
        <v>15.665918260625716</v>
      </c>
      <c r="J42">
        <f>Table1[[#This Row],[Coating weight (mg)]]/Constants!$C$2</f>
        <v>13.297671018020276</v>
      </c>
      <c r="K42">
        <f>(Table1[[#This Row],[Coating weight (mg)]]/1000)/(((Table1[[#This Row],[Electrode Thickness(µm)]]-Constants!$E$4)*10^-4)*Constants!$C$4)</f>
        <v>-11.081392515016894</v>
      </c>
    </row>
    <row r="43" spans="1:11" x14ac:dyDescent="0.35">
      <c r="A43" s="28">
        <v>11700</v>
      </c>
      <c r="B43" t="s">
        <v>53</v>
      </c>
      <c r="C43" s="13" t="s">
        <v>50</v>
      </c>
      <c r="D43" t="s">
        <v>15</v>
      </c>
      <c r="E43">
        <v>20.6</v>
      </c>
      <c r="G43">
        <v>12.7</v>
      </c>
      <c r="H43">
        <f>Table1[[#This Row],[Total electrode weight (mg)]] - IF(ROW()&lt;40, Constants!$B$2 * PI()*(Table1[[#This Row],[Electrode Diameter(mm)]]/(10*2))^2, Constants!$B$4 * PI()*(Table1[[#This Row],[Electrode Diameter(mm)]]/(10*2))^2)</f>
        <v>16.545073398522277</v>
      </c>
      <c r="I43" s="12">
        <f t="shared" si="0"/>
        <v>15.386918260625718</v>
      </c>
      <c r="J43">
        <f>Table1[[#This Row],[Coating weight (mg)]]/Constants!$C$2</f>
        <v>13.06084798905348</v>
      </c>
      <c r="K43">
        <f>(Table1[[#This Row],[Coating weight (mg)]]/1000)/(((Table1[[#This Row],[Electrode Thickness(µm)]]-Constants!$E$4)*10^-4)*Constants!$C$4)</f>
        <v>-10.884039990877898</v>
      </c>
    </row>
    <row r="44" spans="1:11" x14ac:dyDescent="0.35">
      <c r="A44" s="28">
        <v>11701</v>
      </c>
      <c r="B44" t="s">
        <v>32</v>
      </c>
      <c r="C44" s="13" t="s">
        <v>50</v>
      </c>
      <c r="D44" t="s">
        <v>15</v>
      </c>
      <c r="E44">
        <v>19.8</v>
      </c>
      <c r="G44">
        <v>12.7</v>
      </c>
      <c r="H44">
        <f>Table1[[#This Row],[Total electrode weight (mg)]] - IF(ROW()&lt;40, Constants!$B$2 * PI()*(Table1[[#This Row],[Electrode Diameter(mm)]]/(10*2))^2, Constants!$B$4 * PI()*(Table1[[#This Row],[Electrode Diameter(mm)]]/(10*2))^2)</f>
        <v>15.745073398522276</v>
      </c>
      <c r="I44" s="12">
        <f t="shared" si="0"/>
        <v>14.642918260625718</v>
      </c>
      <c r="J44">
        <f>Table1[[#This Row],[Coating weight (mg)]]/Constants!$C$2</f>
        <v>12.429319911808683</v>
      </c>
      <c r="K44">
        <f>(Table1[[#This Row],[Coating weight (mg)]]/1000)/(((Table1[[#This Row],[Electrode Thickness(µm)]]-Constants!$E$4)*10^-4)*Constants!$C$4)</f>
        <v>-10.357766593173901</v>
      </c>
    </row>
    <row r="45" spans="1:11" x14ac:dyDescent="0.35">
      <c r="A45" s="28">
        <v>11702</v>
      </c>
      <c r="B45" t="s">
        <v>34</v>
      </c>
      <c r="C45" s="13" t="s">
        <v>50</v>
      </c>
      <c r="D45" t="s">
        <v>15</v>
      </c>
      <c r="E45">
        <v>22</v>
      </c>
      <c r="G45">
        <v>12.7</v>
      </c>
      <c r="H45">
        <f>Table1[[#This Row],[Total electrode weight (mg)]] - IF(ROW()&lt;40, Constants!$B$2 * PI()*(Table1[[#This Row],[Electrode Diameter(mm)]]/(10*2))^2, Constants!$B$4 * PI()*(Table1[[#This Row],[Electrode Diameter(mm)]]/(10*2))^2)</f>
        <v>17.945073398522275</v>
      </c>
      <c r="I45" s="12">
        <f t="shared" si="0"/>
        <v>16.688918260625716</v>
      </c>
      <c r="J45">
        <f>Table1[[#This Row],[Coating weight (mg)]]/Constants!$C$2</f>
        <v>14.166022124231871</v>
      </c>
      <c r="K45">
        <f>(Table1[[#This Row],[Coating weight (mg)]]/1000)/(((Table1[[#This Row],[Electrode Thickness(µm)]]-Constants!$E$4)*10^-4)*Constants!$C$4)</f>
        <v>-11.805018436859891</v>
      </c>
    </row>
    <row r="46" spans="1:11" x14ac:dyDescent="0.35">
      <c r="A46" s="28">
        <v>11703</v>
      </c>
      <c r="B46" t="s">
        <v>54</v>
      </c>
      <c r="C46" s="13" t="s">
        <v>50</v>
      </c>
      <c r="D46" t="s">
        <v>15</v>
      </c>
      <c r="E46">
        <v>21.9</v>
      </c>
      <c r="G46">
        <v>12.7</v>
      </c>
      <c r="H46">
        <f>Table1[[#This Row],[Total electrode weight (mg)]] - IF(ROW()&lt;40, Constants!$B$2 * PI()*(Table1[[#This Row],[Electrode Diameter(mm)]]/(10*2))^2, Constants!$B$4 * PI()*(Table1[[#This Row],[Electrode Diameter(mm)]]/(10*2))^2)</f>
        <v>17.845073398522274</v>
      </c>
      <c r="I46" s="12">
        <f t="shared" si="0"/>
        <v>16.595918260625716</v>
      </c>
      <c r="J46">
        <f>Table1[[#This Row],[Coating weight (mg)]]/Constants!$C$2</f>
        <v>14.08708111457627</v>
      </c>
      <c r="K46">
        <f>(Table1[[#This Row],[Coating weight (mg)]]/1000)/(((Table1[[#This Row],[Electrode Thickness(µm)]]-Constants!$E$4)*10^-4)*Constants!$C$4)</f>
        <v>-11.739234262146889</v>
      </c>
    </row>
    <row r="47" spans="1:11" x14ac:dyDescent="0.35">
      <c r="A47" s="28">
        <v>11707</v>
      </c>
      <c r="B47" t="s">
        <v>55</v>
      </c>
      <c r="C47" s="13" t="s">
        <v>56</v>
      </c>
      <c r="D47" t="s">
        <v>15</v>
      </c>
      <c r="E47">
        <v>21</v>
      </c>
      <c r="G47">
        <v>12.7</v>
      </c>
      <c r="H47">
        <f>Table1[[#This Row],[Total electrode weight (mg)]] - IF(ROW()&lt;40, Constants!$B$2 * PI()*(Table1[[#This Row],[Electrode Diameter(mm)]]/(10*2))^2, Constants!$B$4 * PI()*(Table1[[#This Row],[Electrode Diameter(mm)]]/(10*2))^2)</f>
        <v>16.945073398522275</v>
      </c>
      <c r="I47" s="12">
        <f t="shared" si="0"/>
        <v>15.758918260625718</v>
      </c>
      <c r="J47">
        <f>Table1[[#This Row],[Coating weight (mg)]]/Constants!$C$2</f>
        <v>13.376612027675876</v>
      </c>
      <c r="K47">
        <f>(Table1[[#This Row],[Coating weight (mg)]]/1000)/(((Table1[[#This Row],[Electrode Thickness(µm)]]-Constants!$E$4)*10^-4)*Constants!$C$4)</f>
        <v>-11.147176689729895</v>
      </c>
    </row>
    <row r="48" spans="1:11" x14ac:dyDescent="0.35">
      <c r="A48" s="28">
        <v>11708</v>
      </c>
      <c r="B48" t="s">
        <v>57</v>
      </c>
      <c r="C48" s="13" t="s">
        <v>56</v>
      </c>
      <c r="D48" t="s">
        <v>15</v>
      </c>
      <c r="E48">
        <v>22.7</v>
      </c>
      <c r="G48">
        <v>12.7</v>
      </c>
      <c r="H48">
        <f>Table1[[#This Row],[Total electrode weight (mg)]] - IF(ROW()&lt;40, Constants!$B$2 * PI()*(Table1[[#This Row],[Electrode Diameter(mm)]]/(10*2))^2, Constants!$B$4 * PI()*(Table1[[#This Row],[Electrode Diameter(mm)]]/(10*2))^2)</f>
        <v>18.645073398522275</v>
      </c>
      <c r="I48" s="12">
        <f t="shared" si="0"/>
        <v>17.339918260625716</v>
      </c>
      <c r="J48">
        <f>Table1[[#This Row],[Coating weight (mg)]]/Constants!$C$2</f>
        <v>14.718609191821065</v>
      </c>
      <c r="K48">
        <f>(Table1[[#This Row],[Coating weight (mg)]]/1000)/(((Table1[[#This Row],[Electrode Thickness(µm)]]-Constants!$E$4)*10^-4)*Constants!$C$4)</f>
        <v>-12.265507659850886</v>
      </c>
    </row>
    <row r="49" spans="1:11" x14ac:dyDescent="0.35">
      <c r="A49" s="28">
        <v>11709</v>
      </c>
      <c r="B49" t="s">
        <v>58</v>
      </c>
      <c r="C49" s="13" t="s">
        <v>56</v>
      </c>
      <c r="D49" t="s">
        <v>15</v>
      </c>
      <c r="E49">
        <v>21.9</v>
      </c>
      <c r="G49">
        <v>12.7</v>
      </c>
      <c r="H49">
        <f>Table1[[#This Row],[Total electrode weight (mg)]] - IF(ROW()&lt;40, Constants!$B$2 * PI()*(Table1[[#This Row],[Electrode Diameter(mm)]]/(10*2))^2, Constants!$B$4 * PI()*(Table1[[#This Row],[Electrode Diameter(mm)]]/(10*2))^2)</f>
        <v>17.845073398522274</v>
      </c>
      <c r="I49" s="12">
        <f t="shared" si="0"/>
        <v>16.595918260625716</v>
      </c>
      <c r="J49">
        <f>Table1[[#This Row],[Coating weight (mg)]]/Constants!$C$2</f>
        <v>14.08708111457627</v>
      </c>
      <c r="K49">
        <f>(Table1[[#This Row],[Coating weight (mg)]]/1000)/(((Table1[[#This Row],[Electrode Thickness(µm)]]-Constants!$E$4)*10^-4)*Constants!$C$4)</f>
        <v>-11.739234262146889</v>
      </c>
    </row>
    <row r="50" spans="1:11" x14ac:dyDescent="0.35">
      <c r="A50" s="28">
        <v>11710</v>
      </c>
      <c r="B50" t="s">
        <v>59</v>
      </c>
      <c r="C50" s="13" t="s">
        <v>56</v>
      </c>
      <c r="D50" t="s">
        <v>15</v>
      </c>
      <c r="E50">
        <v>21.3</v>
      </c>
      <c r="G50">
        <v>12.7</v>
      </c>
      <c r="H50">
        <f>Table1[[#This Row],[Total electrode weight (mg)]] - IF(ROW()&lt;40, Constants!$B$2 * PI()*(Table1[[#This Row],[Electrode Diameter(mm)]]/(10*2))^2, Constants!$B$4 * PI()*(Table1[[#This Row],[Electrode Diameter(mm)]]/(10*2))^2)</f>
        <v>17.245073398522276</v>
      </c>
      <c r="I50" s="12">
        <f t="shared" si="0"/>
        <v>16.037918260625716</v>
      </c>
      <c r="J50">
        <f>Table1[[#This Row],[Coating weight (mg)]]/Constants!$C$2</f>
        <v>13.613435056642675</v>
      </c>
      <c r="K50">
        <f>(Table1[[#This Row],[Coating weight (mg)]]/1000)/(((Table1[[#This Row],[Electrode Thickness(µm)]]-Constants!$E$4)*10^-4)*Constants!$C$4)</f>
        <v>-11.344529213868896</v>
      </c>
    </row>
    <row r="51" spans="1:11" x14ac:dyDescent="0.35">
      <c r="A51" s="28">
        <v>11714</v>
      </c>
      <c r="B51" t="s">
        <v>32</v>
      </c>
      <c r="C51" s="13" t="s">
        <v>60</v>
      </c>
      <c r="D51" t="s">
        <v>15</v>
      </c>
      <c r="E51">
        <v>21.1</v>
      </c>
      <c r="G51">
        <v>12.7</v>
      </c>
      <c r="H51">
        <f>Table1[[#This Row],[Total electrode weight (mg)]] - IF(ROW()&lt;40, Constants!$B$2 * PI()*(Table1[[#This Row],[Electrode Diameter(mm)]]/(10*2))^2, Constants!$B$4 * PI()*(Table1[[#This Row],[Electrode Diameter(mm)]]/(10*2))^2)</f>
        <v>17.045073398522277</v>
      </c>
      <c r="I51" s="12">
        <f t="shared" si="0"/>
        <v>15.851918260625718</v>
      </c>
      <c r="J51">
        <f>Table1[[#This Row],[Coating weight (mg)]]/Constants!$C$2</f>
        <v>13.455553037331477</v>
      </c>
      <c r="K51">
        <f>(Table1[[#This Row],[Coating weight (mg)]]/1000)/(((Table1[[#This Row],[Electrode Thickness(µm)]]-Constants!$E$4)*10^-4)*Constants!$C$4)</f>
        <v>-11.212960864442897</v>
      </c>
    </row>
    <row r="52" spans="1:11" x14ac:dyDescent="0.35">
      <c r="A52" s="28">
        <v>11715</v>
      </c>
      <c r="B52" t="s">
        <v>34</v>
      </c>
      <c r="C52" s="13" t="s">
        <v>60</v>
      </c>
      <c r="D52" t="s">
        <v>15</v>
      </c>
      <c r="E52">
        <v>20.8</v>
      </c>
      <c r="G52">
        <v>12.7</v>
      </c>
      <c r="H52">
        <f>Table1[[#This Row],[Total electrode weight (mg)]] - IF(ROW()&lt;40, Constants!$B$2 * PI()*(Table1[[#This Row],[Electrode Diameter(mm)]]/(10*2))^2, Constants!$B$4 * PI()*(Table1[[#This Row],[Electrode Diameter(mm)]]/(10*2))^2)</f>
        <v>16.745073398522276</v>
      </c>
      <c r="I52" s="12">
        <f t="shared" si="0"/>
        <v>15.572918260625718</v>
      </c>
      <c r="J52">
        <f>Table1[[#This Row],[Coating weight (mg)]]/Constants!$C$2</f>
        <v>13.218730008364679</v>
      </c>
      <c r="K52">
        <f>(Table1[[#This Row],[Coating weight (mg)]]/1000)/(((Table1[[#This Row],[Electrode Thickness(µm)]]-Constants!$E$4)*10^-4)*Constants!$C$4)</f>
        <v>-11.015608340303897</v>
      </c>
    </row>
    <row r="53" spans="1:11" x14ac:dyDescent="0.35">
      <c r="A53" s="28">
        <v>11716</v>
      </c>
      <c r="B53" t="s">
        <v>54</v>
      </c>
      <c r="C53" s="13" t="s">
        <v>60</v>
      </c>
      <c r="D53" t="s">
        <v>15</v>
      </c>
      <c r="E53">
        <v>21</v>
      </c>
      <c r="G53">
        <v>12.7</v>
      </c>
      <c r="H53">
        <f>Table1[[#This Row],[Total electrode weight (mg)]] - IF(ROW()&lt;40, Constants!$B$2 * PI()*(Table1[[#This Row],[Electrode Diameter(mm)]]/(10*2))^2, Constants!$B$4 * PI()*(Table1[[#This Row],[Electrode Diameter(mm)]]/(10*2))^2)</f>
        <v>16.945073398522275</v>
      </c>
      <c r="I53" s="12">
        <f t="shared" si="0"/>
        <v>15.758918260625718</v>
      </c>
      <c r="J53">
        <f>Table1[[#This Row],[Coating weight (mg)]]/Constants!$C$2</f>
        <v>13.376612027675876</v>
      </c>
      <c r="K53">
        <f>(Table1[[#This Row],[Coating weight (mg)]]/1000)/(((Table1[[#This Row],[Electrode Thickness(µm)]]-Constants!$E$4)*10^-4)*Constants!$C$4)</f>
        <v>-11.147176689729895</v>
      </c>
    </row>
    <row r="54" spans="1:11" x14ac:dyDescent="0.35">
      <c r="A54" s="28">
        <v>11717</v>
      </c>
      <c r="B54" t="s">
        <v>55</v>
      </c>
      <c r="C54" s="13" t="s">
        <v>60</v>
      </c>
      <c r="D54" t="s">
        <v>15</v>
      </c>
      <c r="E54">
        <v>20.2</v>
      </c>
      <c r="G54">
        <v>12.7</v>
      </c>
      <c r="H54">
        <f>Table1[[#This Row],[Total electrode weight (mg)]] - IF(ROW()&lt;40, Constants!$B$2 * PI()*(Table1[[#This Row],[Electrode Diameter(mm)]]/(10*2))^2, Constants!$B$4 * PI()*(Table1[[#This Row],[Electrode Diameter(mm)]]/(10*2))^2)</f>
        <v>16.145073398522275</v>
      </c>
      <c r="I54" s="12">
        <f t="shared" si="0"/>
        <v>15.014918260625716</v>
      </c>
      <c r="J54">
        <f>Table1[[#This Row],[Coating weight (mg)]]/Constants!$C$2</f>
        <v>12.745083950431081</v>
      </c>
      <c r="K54">
        <f>(Table1[[#This Row],[Coating weight (mg)]]/1000)/(((Table1[[#This Row],[Electrode Thickness(µm)]]-Constants!$E$4)*10^-4)*Constants!$C$4)</f>
        <v>-10.620903292025899</v>
      </c>
    </row>
    <row r="55" spans="1:11" x14ac:dyDescent="0.35">
      <c r="A55" s="28">
        <v>11718</v>
      </c>
      <c r="B55" t="s">
        <v>57</v>
      </c>
      <c r="C55" s="13" t="s">
        <v>60</v>
      </c>
      <c r="D55" t="s">
        <v>15</v>
      </c>
      <c r="E55">
        <v>21.1</v>
      </c>
      <c r="G55">
        <v>12.7</v>
      </c>
      <c r="H55">
        <f>Table1[[#This Row],[Total electrode weight (mg)]] - IF(ROW()&lt;40, Constants!$B$2 * PI()*(Table1[[#This Row],[Electrode Diameter(mm)]]/(10*2))^2, Constants!$B$4 * PI()*(Table1[[#This Row],[Electrode Diameter(mm)]]/(10*2))^2)</f>
        <v>17.045073398522277</v>
      </c>
      <c r="I55" s="12">
        <f t="shared" si="0"/>
        <v>15.851918260625718</v>
      </c>
      <c r="J55">
        <f>Table1[[#This Row],[Coating weight (mg)]]/Constants!$C$2</f>
        <v>13.455553037331477</v>
      </c>
      <c r="K55">
        <f>(Table1[[#This Row],[Coating weight (mg)]]/1000)/(((Table1[[#This Row],[Electrode Thickness(µm)]]-Constants!$E$4)*10^-4)*Constants!$C$4)</f>
        <v>-11.212960864442897</v>
      </c>
    </row>
    <row r="56" spans="1:11" x14ac:dyDescent="0.35">
      <c r="A56" s="28">
        <v>11746</v>
      </c>
      <c r="B56" t="s">
        <v>61</v>
      </c>
      <c r="C56" s="13" t="s">
        <v>62</v>
      </c>
      <c r="D56" t="s">
        <v>15</v>
      </c>
      <c r="E56">
        <v>15.4</v>
      </c>
      <c r="G56">
        <v>12.7</v>
      </c>
      <c r="H56">
        <f>Table1[[#This Row],[Total electrode weight (mg)]] - IF(ROW()&lt;40, Constants!$B$2 * PI()*(Table1[[#This Row],[Electrode Diameter(mm)]]/(10*2))^2, Constants!$B$4 * PI()*(Table1[[#This Row],[Electrode Diameter(mm)]]/(10*2))^2)</f>
        <v>11.345073398522274</v>
      </c>
      <c r="I56" s="12">
        <f t="shared" si="0"/>
        <v>10.550918260625716</v>
      </c>
      <c r="J56">
        <f>Table1[[#This Row],[Coating weight (mg)]]/Constants!$C$2</f>
        <v>8.9559154869623079</v>
      </c>
      <c r="K56">
        <f>(Table1[[#This Row],[Coating weight (mg)]]/1000)/(((Table1[[#This Row],[Electrode Thickness(µm)]]-Constants!$E$4)*10^-4)*Constants!$C$4)</f>
        <v>-7.4632629058019226</v>
      </c>
    </row>
    <row r="57" spans="1:11" x14ac:dyDescent="0.35">
      <c r="A57" s="28">
        <v>11747</v>
      </c>
      <c r="B57" t="s">
        <v>61</v>
      </c>
      <c r="C57" s="13" t="s">
        <v>62</v>
      </c>
      <c r="D57" t="s">
        <v>15</v>
      </c>
      <c r="E57">
        <v>15.9</v>
      </c>
      <c r="G57">
        <v>12.7</v>
      </c>
      <c r="H57">
        <f>Table1[[#This Row],[Total electrode weight (mg)]] - IF(ROW()&lt;40, Constants!$B$2 * PI()*(Table1[[#This Row],[Electrode Diameter(mm)]]/(10*2))^2, Constants!$B$4 * PI()*(Table1[[#This Row],[Electrode Diameter(mm)]]/(10*2))^2)</f>
        <v>11.845073398522274</v>
      </c>
      <c r="I57" s="12">
        <f t="shared" si="0"/>
        <v>11.015918260625716</v>
      </c>
      <c r="J57">
        <f>Table1[[#This Row],[Coating weight (mg)]]/Constants!$C$2</f>
        <v>9.3506205352403047</v>
      </c>
      <c r="K57">
        <f>(Table1[[#This Row],[Coating weight (mg)]]/1000)/(((Table1[[#This Row],[Electrode Thickness(µm)]]-Constants!$E$4)*10^-4)*Constants!$C$4)</f>
        <v>-7.79218377936692</v>
      </c>
    </row>
    <row r="58" spans="1:11" x14ac:dyDescent="0.35">
      <c r="A58" s="28">
        <v>11748</v>
      </c>
      <c r="B58" t="s">
        <v>61</v>
      </c>
      <c r="C58" s="13" t="s">
        <v>62</v>
      </c>
      <c r="D58" t="s">
        <v>15</v>
      </c>
      <c r="E58">
        <v>19.2</v>
      </c>
      <c r="G58">
        <v>12.7</v>
      </c>
      <c r="H58">
        <f>Table1[[#This Row],[Total electrode weight (mg)]] - IF(ROW()&lt;40, Constants!$B$2 * PI()*(Table1[[#This Row],[Electrode Diameter(mm)]]/(10*2))^2, Constants!$B$4 * PI()*(Table1[[#This Row],[Electrode Diameter(mm)]]/(10*2))^2)</f>
        <v>15.145073398522275</v>
      </c>
      <c r="I58" s="12">
        <f t="shared" si="0"/>
        <v>14.084918260625717</v>
      </c>
      <c r="J58">
        <f>Table1[[#This Row],[Coating weight (mg)]]/Constants!$C$2</f>
        <v>11.955673853875085</v>
      </c>
      <c r="K58">
        <f>(Table1[[#This Row],[Coating weight (mg)]]/1000)/(((Table1[[#This Row],[Electrode Thickness(µm)]]-Constants!$E$4)*10^-4)*Constants!$C$4)</f>
        <v>-9.9630615448959041</v>
      </c>
    </row>
    <row r="59" spans="1:11" x14ac:dyDescent="0.35">
      <c r="A59" s="28">
        <v>11749</v>
      </c>
      <c r="B59" t="s">
        <v>61</v>
      </c>
      <c r="C59" s="13" t="s">
        <v>62</v>
      </c>
      <c r="D59" t="s">
        <v>15</v>
      </c>
      <c r="E59">
        <v>21.4</v>
      </c>
      <c r="G59">
        <v>12.7</v>
      </c>
      <c r="H59">
        <f>Table1[[#This Row],[Total electrode weight (mg)]] - IF(ROW()&lt;40, Constants!$B$2 * PI()*(Table1[[#This Row],[Electrode Diameter(mm)]]/(10*2))^2, Constants!$B$4 * PI()*(Table1[[#This Row],[Electrode Diameter(mm)]]/(10*2))^2)</f>
        <v>17.345073398522274</v>
      </c>
      <c r="I59" s="12">
        <f t="shared" si="0"/>
        <v>16.130918260625716</v>
      </c>
      <c r="J59">
        <f>Table1[[#This Row],[Coating weight (mg)]]/Constants!$C$2</f>
        <v>13.692376066298273</v>
      </c>
      <c r="K59">
        <f>(Table1[[#This Row],[Coating weight (mg)]]/1000)/(((Table1[[#This Row],[Electrode Thickness(µm)]]-Constants!$E$4)*10^-4)*Constants!$C$4)</f>
        <v>-11.410313388581892</v>
      </c>
    </row>
    <row r="60" spans="1:11" x14ac:dyDescent="0.35">
      <c r="A60" s="28">
        <v>11750</v>
      </c>
      <c r="B60" t="s">
        <v>61</v>
      </c>
      <c r="C60" s="13" t="s">
        <v>62</v>
      </c>
      <c r="D60" t="s">
        <v>15</v>
      </c>
      <c r="E60">
        <v>19</v>
      </c>
      <c r="G60">
        <v>12.7</v>
      </c>
      <c r="H60">
        <f>Table1[[#This Row],[Total electrode weight (mg)]] - IF(ROW()&lt;40, Constants!$B$2 * PI()*(Table1[[#This Row],[Electrode Diameter(mm)]]/(10*2))^2, Constants!$B$4 * PI()*(Table1[[#This Row],[Electrode Diameter(mm)]]/(10*2))^2)</f>
        <v>14.945073398522275</v>
      </c>
      <c r="I60" s="12">
        <f t="shared" si="0"/>
        <v>13.898918260625717</v>
      </c>
      <c r="J60">
        <f>Table1[[#This Row],[Coating weight (mg)]]/Constants!$C$2</f>
        <v>11.797791834563888</v>
      </c>
      <c r="K60">
        <f>(Table1[[#This Row],[Coating weight (mg)]]/1000)/(((Table1[[#This Row],[Electrode Thickness(µm)]]-Constants!$E$4)*10^-4)*Constants!$C$4)</f>
        <v>-9.8314931954699052</v>
      </c>
    </row>
    <row r="61" spans="1:11" x14ac:dyDescent="0.35">
      <c r="A61" s="28">
        <v>11751</v>
      </c>
      <c r="B61" t="s">
        <v>32</v>
      </c>
      <c r="C61" s="13" t="s">
        <v>62</v>
      </c>
      <c r="D61" t="s">
        <v>15</v>
      </c>
      <c r="E61">
        <v>15.1</v>
      </c>
      <c r="G61">
        <v>12.7</v>
      </c>
      <c r="H61">
        <f>Table1[[#This Row],[Total electrode weight (mg)]] - IF(ROW()&lt;40, Constants!$B$2 * PI()*(Table1[[#This Row],[Electrode Diameter(mm)]]/(10*2))^2, Constants!$B$4 * PI()*(Table1[[#This Row],[Electrode Diameter(mm)]]/(10*2))^2)</f>
        <v>11.045073398522273</v>
      </c>
      <c r="I61" s="12">
        <f t="shared" si="0"/>
        <v>10.271918260625714</v>
      </c>
      <c r="J61">
        <f>Table1[[#This Row],[Coating weight (mg)]]/Constants!$C$2</f>
        <v>8.7190924579955098</v>
      </c>
      <c r="K61">
        <f>(Table1[[#This Row],[Coating weight (mg)]]/1000)/(((Table1[[#This Row],[Electrode Thickness(µm)]]-Constants!$E$4)*10^-4)*Constants!$C$4)</f>
        <v>-7.2659103816629234</v>
      </c>
    </row>
    <row r="62" spans="1:11" x14ac:dyDescent="0.35">
      <c r="A62" s="28">
        <v>11752</v>
      </c>
      <c r="B62" t="s">
        <v>34</v>
      </c>
      <c r="C62" s="13" t="s">
        <v>62</v>
      </c>
      <c r="D62" t="s">
        <v>15</v>
      </c>
      <c r="E62">
        <v>19.100000000000001</v>
      </c>
      <c r="G62">
        <v>12.7</v>
      </c>
      <c r="H62">
        <f>Table1[[#This Row],[Total electrode weight (mg)]] - IF(ROW()&lt;40, Constants!$B$2 * PI()*(Table1[[#This Row],[Electrode Diameter(mm)]]/(10*2))^2, Constants!$B$4 * PI()*(Table1[[#This Row],[Electrode Diameter(mm)]]/(10*2))^2)</f>
        <v>15.045073398522277</v>
      </c>
      <c r="I62" s="12">
        <f t="shared" si="0"/>
        <v>13.991918260625718</v>
      </c>
      <c r="J62">
        <f>Table1[[#This Row],[Coating weight (mg)]]/Constants!$C$2</f>
        <v>11.876732844219488</v>
      </c>
      <c r="K62">
        <f>(Table1[[#This Row],[Coating weight (mg)]]/1000)/(((Table1[[#This Row],[Electrode Thickness(µm)]]-Constants!$E$4)*10^-4)*Constants!$C$4)</f>
        <v>-9.8972773701829055</v>
      </c>
    </row>
    <row r="63" spans="1:11" x14ac:dyDescent="0.35">
      <c r="A63" s="28">
        <v>11753</v>
      </c>
      <c r="B63" t="s">
        <v>54</v>
      </c>
      <c r="C63" s="13" t="s">
        <v>62</v>
      </c>
      <c r="D63" t="s">
        <v>15</v>
      </c>
      <c r="E63">
        <v>20.8</v>
      </c>
      <c r="G63">
        <v>12.7</v>
      </c>
      <c r="H63">
        <f>Table1[[#This Row],[Total electrode weight (mg)]] - IF(ROW()&lt;40, Constants!$B$2 * PI()*(Table1[[#This Row],[Electrode Diameter(mm)]]/(10*2))^2, Constants!$B$4 * PI()*(Table1[[#This Row],[Electrode Diameter(mm)]]/(10*2))^2)</f>
        <v>16.745073398522276</v>
      </c>
      <c r="I63" s="12">
        <f t="shared" si="0"/>
        <v>15.572918260625718</v>
      </c>
      <c r="J63">
        <f>Table1[[#This Row],[Coating weight (mg)]]/Constants!$C$2</f>
        <v>13.218730008364679</v>
      </c>
      <c r="K63">
        <f>(Table1[[#This Row],[Coating weight (mg)]]/1000)/(((Table1[[#This Row],[Electrode Thickness(µm)]]-Constants!$E$4)*10^-4)*Constants!$C$4)</f>
        <v>-11.015608340303897</v>
      </c>
    </row>
    <row r="64" spans="1:11" x14ac:dyDescent="0.35">
      <c r="A64" s="28">
        <v>11754</v>
      </c>
      <c r="B64" t="s">
        <v>44</v>
      </c>
      <c r="C64" s="13" t="s">
        <v>63</v>
      </c>
      <c r="D64" t="s">
        <v>15</v>
      </c>
      <c r="E64">
        <v>22.6</v>
      </c>
      <c r="G64">
        <v>12.7</v>
      </c>
      <c r="H64">
        <f>Table1[[#This Row],[Total electrode weight (mg)]] - IF(ROW()&lt;40, Constants!$B$2 * PI()*(Table1[[#This Row],[Electrode Diameter(mm)]]/(10*2))^2, Constants!$B$4 * PI()*(Table1[[#This Row],[Electrode Diameter(mm)]]/(10*2))^2)</f>
        <v>18.545073398522277</v>
      </c>
      <c r="I64" s="12">
        <f t="shared" si="0"/>
        <v>17.246918260625719</v>
      </c>
      <c r="J64">
        <f>Table1[[#This Row],[Coating weight (mg)]]/Constants!$C$2</f>
        <v>14.639668182165467</v>
      </c>
      <c r="K64">
        <f>(Table1[[#This Row],[Coating weight (mg)]]/1000)/(((Table1[[#This Row],[Electrode Thickness(µm)]]-Constants!$E$4)*10^-4)*Constants!$C$4)</f>
        <v>-12.199723485137888</v>
      </c>
    </row>
    <row r="65" spans="1:11" x14ac:dyDescent="0.35">
      <c r="A65" s="28">
        <v>11755</v>
      </c>
      <c r="B65" t="s">
        <v>45</v>
      </c>
      <c r="C65" s="13" t="s">
        <v>63</v>
      </c>
      <c r="D65" t="s">
        <v>15</v>
      </c>
      <c r="E65">
        <v>21.7</v>
      </c>
      <c r="G65">
        <v>12.7</v>
      </c>
      <c r="H65">
        <f>Table1[[#This Row],[Total electrode weight (mg)]] - IF(ROW()&lt;40, Constants!$B$2 * PI()*(Table1[[#This Row],[Electrode Diameter(mm)]]/(10*2))^2, Constants!$B$4 * PI()*(Table1[[#This Row],[Electrode Diameter(mm)]]/(10*2))^2)</f>
        <v>17.645073398522275</v>
      </c>
      <c r="I65" s="12">
        <f t="shared" si="0"/>
        <v>16.409918260625716</v>
      </c>
      <c r="J65">
        <f>Table1[[#This Row],[Coating weight (mg)]]/Constants!$C$2</f>
        <v>13.929199095265071</v>
      </c>
      <c r="K65">
        <f>(Table1[[#This Row],[Coating weight (mg)]]/1000)/(((Table1[[#This Row],[Electrode Thickness(µm)]]-Constants!$E$4)*10^-4)*Constants!$C$4)</f>
        <v>-11.607665912720892</v>
      </c>
    </row>
    <row r="66" spans="1:11" x14ac:dyDescent="0.35">
      <c r="A66" s="28">
        <v>11756</v>
      </c>
      <c r="B66" t="s">
        <v>36</v>
      </c>
      <c r="C66" s="13" t="s">
        <v>63</v>
      </c>
      <c r="D66" t="s">
        <v>15</v>
      </c>
      <c r="E66">
        <v>21.5</v>
      </c>
      <c r="G66">
        <v>12.7</v>
      </c>
      <c r="H66">
        <f>Table1[[#This Row],[Total electrode weight (mg)]] - IF(ROW()&lt;40, Constants!$B$2 * PI()*(Table1[[#This Row],[Electrode Diameter(mm)]]/(10*2))^2, Constants!$B$4 * PI()*(Table1[[#This Row],[Electrode Diameter(mm)]]/(10*2))^2)</f>
        <v>17.445073398522275</v>
      </c>
      <c r="I66" s="12">
        <f t="shared" si="0"/>
        <v>16.223918260625716</v>
      </c>
      <c r="J66">
        <f>Table1[[#This Row],[Coating weight (mg)]]/Constants!$C$2</f>
        <v>13.771317075953872</v>
      </c>
      <c r="K66">
        <f>(Table1[[#This Row],[Coating weight (mg)]]/1000)/(((Table1[[#This Row],[Electrode Thickness(µm)]]-Constants!$E$4)*10^-4)*Constants!$C$4)</f>
        <v>-11.476097563294893</v>
      </c>
    </row>
    <row r="67" spans="1:11" x14ac:dyDescent="0.35">
      <c r="A67" s="28">
        <v>11757</v>
      </c>
      <c r="B67" t="s">
        <v>37</v>
      </c>
      <c r="C67" s="13" t="s">
        <v>63</v>
      </c>
      <c r="D67" t="s">
        <v>15</v>
      </c>
      <c r="E67">
        <v>21.5</v>
      </c>
      <c r="G67">
        <v>12.7</v>
      </c>
      <c r="H67">
        <f>Table1[[#This Row],[Total electrode weight (mg)]] - IF(ROW()&lt;40, Constants!$B$2 * PI()*(Table1[[#This Row],[Electrode Diameter(mm)]]/(10*2))^2, Constants!$B$4 * PI()*(Table1[[#This Row],[Electrode Diameter(mm)]]/(10*2))^2)</f>
        <v>17.445073398522275</v>
      </c>
      <c r="I67" s="12">
        <f t="shared" ref="I67:I130" si="1">IF(D67="", "", IF(D67="RnD", H67*0.85, IF(D67="Production", H67*0.93, "Invalid")))</f>
        <v>16.223918260625716</v>
      </c>
      <c r="J67">
        <f>Table1[[#This Row],[Coating weight (mg)]]/Constants!$C$2</f>
        <v>13.771317075953872</v>
      </c>
      <c r="K67">
        <f>(Table1[[#This Row],[Coating weight (mg)]]/1000)/(((Table1[[#This Row],[Electrode Thickness(µm)]]-Constants!$E$4)*10^-4)*Constants!$C$4)</f>
        <v>-11.476097563294893</v>
      </c>
    </row>
    <row r="68" spans="1:11" x14ac:dyDescent="0.35">
      <c r="A68" s="28">
        <v>11773</v>
      </c>
      <c r="B68" t="s">
        <v>21</v>
      </c>
      <c r="C68" s="13" t="s">
        <v>64</v>
      </c>
      <c r="D68" t="s">
        <v>15</v>
      </c>
      <c r="E68">
        <v>20.100000000000001</v>
      </c>
      <c r="G68">
        <v>12.7</v>
      </c>
      <c r="H68">
        <f>Table1[[#This Row],[Total electrode weight (mg)]] - IF(ROW()&lt;40, Constants!$B$2 * PI()*(Table1[[#This Row],[Electrode Diameter(mm)]]/(10*2))^2, Constants!$B$4 * PI()*(Table1[[#This Row],[Electrode Diameter(mm)]]/(10*2))^2)</f>
        <v>16.045073398522277</v>
      </c>
      <c r="I68" s="12">
        <f t="shared" si="1"/>
        <v>14.921918260625718</v>
      </c>
      <c r="J68">
        <f>Table1[[#This Row],[Coating weight (mg)]]/Constants!$C$2</f>
        <v>12.666142940775483</v>
      </c>
      <c r="K68">
        <f>(Table1[[#This Row],[Coating weight (mg)]]/1000)/(((Table1[[#This Row],[Electrode Thickness(µm)]]-Constants!$E$4)*10^-4)*Constants!$C$4)</f>
        <v>-10.555119117312902</v>
      </c>
    </row>
    <row r="69" spans="1:11" x14ac:dyDescent="0.35">
      <c r="A69" s="28">
        <v>11774</v>
      </c>
      <c r="B69" t="s">
        <v>22</v>
      </c>
      <c r="C69" s="13" t="s">
        <v>64</v>
      </c>
      <c r="D69" t="s">
        <v>15</v>
      </c>
      <c r="E69">
        <v>22</v>
      </c>
      <c r="G69">
        <v>12.7</v>
      </c>
      <c r="H69">
        <f>Table1[[#This Row],[Total electrode weight (mg)]] - IF(ROW()&lt;40, Constants!$B$2 * PI()*(Table1[[#This Row],[Electrode Diameter(mm)]]/(10*2))^2, Constants!$B$4 * PI()*(Table1[[#This Row],[Electrode Diameter(mm)]]/(10*2))^2)</f>
        <v>17.945073398522275</v>
      </c>
      <c r="I69" s="12">
        <f t="shared" si="1"/>
        <v>16.688918260625716</v>
      </c>
      <c r="J69">
        <f>Table1[[#This Row],[Coating weight (mg)]]/Constants!$C$2</f>
        <v>14.166022124231871</v>
      </c>
      <c r="K69">
        <f>(Table1[[#This Row],[Coating weight (mg)]]/1000)/(((Table1[[#This Row],[Electrode Thickness(µm)]]-Constants!$E$4)*10^-4)*Constants!$C$4)</f>
        <v>-11.805018436859891</v>
      </c>
    </row>
    <row r="70" spans="1:11" x14ac:dyDescent="0.35">
      <c r="A70" s="28">
        <v>11775</v>
      </c>
      <c r="B70" t="s">
        <v>47</v>
      </c>
      <c r="C70" s="13" t="s">
        <v>64</v>
      </c>
      <c r="D70" t="s">
        <v>15</v>
      </c>
      <c r="E70">
        <v>22.8</v>
      </c>
      <c r="G70">
        <v>12.7</v>
      </c>
      <c r="H70">
        <f>Table1[[#This Row],[Total electrode weight (mg)]] - IF(ROW()&lt;40, Constants!$B$2 * PI()*(Table1[[#This Row],[Electrode Diameter(mm)]]/(10*2))^2, Constants!$B$4 * PI()*(Table1[[#This Row],[Electrode Diameter(mm)]]/(10*2))^2)</f>
        <v>18.745073398522276</v>
      </c>
      <c r="I70" s="12">
        <f t="shared" si="1"/>
        <v>17.432918260625719</v>
      </c>
      <c r="J70">
        <f>Table1[[#This Row],[Coating weight (mg)]]/Constants!$C$2</f>
        <v>14.797550201476666</v>
      </c>
      <c r="K70">
        <f>(Table1[[#This Row],[Coating weight (mg)]]/1000)/(((Table1[[#This Row],[Electrode Thickness(µm)]]-Constants!$E$4)*10^-4)*Constants!$C$4)</f>
        <v>-12.331291834563887</v>
      </c>
    </row>
    <row r="71" spans="1:11" x14ac:dyDescent="0.35">
      <c r="A71" s="28">
        <v>11776</v>
      </c>
      <c r="B71" t="s">
        <v>46</v>
      </c>
      <c r="C71" s="13" t="s">
        <v>64</v>
      </c>
      <c r="D71" t="s">
        <v>15</v>
      </c>
      <c r="E71">
        <v>22.8</v>
      </c>
      <c r="G71">
        <v>12.7</v>
      </c>
      <c r="H71">
        <f>Table1[[#This Row],[Total electrode weight (mg)]] - IF(ROW()&lt;40, Constants!$B$2 * PI()*(Table1[[#This Row],[Electrode Diameter(mm)]]/(10*2))^2, Constants!$B$4 * PI()*(Table1[[#This Row],[Electrode Diameter(mm)]]/(10*2))^2)</f>
        <v>18.745073398522276</v>
      </c>
      <c r="I71" s="12">
        <f t="shared" si="1"/>
        <v>17.432918260625719</v>
      </c>
      <c r="J71">
        <f>Table1[[#This Row],[Coating weight (mg)]]/Constants!$C$2</f>
        <v>14.797550201476666</v>
      </c>
      <c r="K71">
        <f>(Table1[[#This Row],[Coating weight (mg)]]/1000)/(((Table1[[#This Row],[Electrode Thickness(µm)]]-Constants!$E$4)*10^-4)*Constants!$C$4)</f>
        <v>-12.331291834563887</v>
      </c>
    </row>
    <row r="72" spans="1:11" x14ac:dyDescent="0.35">
      <c r="A72" s="28">
        <v>11777</v>
      </c>
      <c r="B72" t="s">
        <v>18</v>
      </c>
      <c r="C72" s="13" t="s">
        <v>65</v>
      </c>
      <c r="D72" t="s">
        <v>66</v>
      </c>
      <c r="E72">
        <v>15.1</v>
      </c>
      <c r="G72">
        <v>12.7</v>
      </c>
      <c r="H72">
        <f>Table1[[#This Row],[Total electrode weight (mg)]] - IF(ROW()&lt;40, Constants!$B$2 * PI()*(Table1[[#This Row],[Electrode Diameter(mm)]]/(10*2))^2, Constants!$B$4 * PI()*(Table1[[#This Row],[Electrode Diameter(mm)]]/(10*2))^2)</f>
        <v>11.045073398522273</v>
      </c>
      <c r="I72" s="12">
        <f t="shared" si="1"/>
        <v>9.3883123887439321</v>
      </c>
      <c r="J72">
        <f>Table1[[#This Row],[Coating weight (mg)]]/Constants!$C$2</f>
        <v>8.7190924579955098</v>
      </c>
      <c r="K72">
        <f>(Table1[[#This Row],[Coating weight (mg)]]/1000)/(((Table1[[#This Row],[Electrode Thickness(µm)]]-Constants!$E$4)*10^-4)*Constants!$C$4)</f>
        <v>-7.2659103816629234</v>
      </c>
    </row>
    <row r="73" spans="1:11" x14ac:dyDescent="0.35">
      <c r="A73" s="28">
        <v>11778</v>
      </c>
      <c r="B73" t="s">
        <v>27</v>
      </c>
      <c r="C73" s="13" t="s">
        <v>65</v>
      </c>
      <c r="D73" t="s">
        <v>66</v>
      </c>
      <c r="E73">
        <v>15.8</v>
      </c>
      <c r="G73">
        <v>12.7</v>
      </c>
      <c r="H73">
        <f>Table1[[#This Row],[Total electrode weight (mg)]] - IF(ROW()&lt;40, Constants!$B$2 * PI()*(Table1[[#This Row],[Electrode Diameter(mm)]]/(10*2))^2, Constants!$B$4 * PI()*(Table1[[#This Row],[Electrode Diameter(mm)]]/(10*2))^2)</f>
        <v>11.745073398522276</v>
      </c>
      <c r="I73" s="12">
        <f t="shared" si="1"/>
        <v>9.9833123887439346</v>
      </c>
      <c r="J73">
        <f>Table1[[#This Row],[Coating weight (mg)]]/Constants!$C$2</f>
        <v>9.2716795255847071</v>
      </c>
      <c r="K73">
        <f>(Table1[[#This Row],[Coating weight (mg)]]/1000)/(((Table1[[#This Row],[Electrode Thickness(µm)]]-Constants!$E$4)*10^-4)*Constants!$C$4)</f>
        <v>-7.7263996046539214</v>
      </c>
    </row>
    <row r="74" spans="1:11" x14ac:dyDescent="0.35">
      <c r="A74" s="28">
        <v>11779</v>
      </c>
      <c r="B74" t="s">
        <v>28</v>
      </c>
      <c r="C74" s="13" t="s">
        <v>65</v>
      </c>
      <c r="D74" t="s">
        <v>66</v>
      </c>
      <c r="E74">
        <v>16.399999999999999</v>
      </c>
      <c r="G74">
        <v>12.7</v>
      </c>
      <c r="H74">
        <f>Table1[[#This Row],[Total electrode weight (mg)]] - IF(ROW()&lt;40, Constants!$B$2 * PI()*(Table1[[#This Row],[Electrode Diameter(mm)]]/(10*2))^2, Constants!$B$4 * PI()*(Table1[[#This Row],[Electrode Diameter(mm)]]/(10*2))^2)</f>
        <v>12.345073398522274</v>
      </c>
      <c r="I74" s="12">
        <f t="shared" si="1"/>
        <v>10.493312388743933</v>
      </c>
      <c r="J74">
        <f>Table1[[#This Row],[Coating weight (mg)]]/Constants!$C$2</f>
        <v>9.7453255835183015</v>
      </c>
      <c r="K74">
        <f>(Table1[[#This Row],[Coating weight (mg)]]/1000)/(((Table1[[#This Row],[Electrode Thickness(µm)]]-Constants!$E$4)*10^-4)*Constants!$C$4)</f>
        <v>-8.1211046529319173</v>
      </c>
    </row>
    <row r="75" spans="1:11" x14ac:dyDescent="0.35">
      <c r="A75" s="28">
        <v>11780</v>
      </c>
      <c r="B75" t="s">
        <v>53</v>
      </c>
      <c r="C75" s="13" t="s">
        <v>65</v>
      </c>
      <c r="D75" t="s">
        <v>66</v>
      </c>
      <c r="E75">
        <v>17.2</v>
      </c>
      <c r="G75">
        <v>12.7</v>
      </c>
      <c r="H75">
        <f>Table1[[#This Row],[Total electrode weight (mg)]] - IF(ROW()&lt;40, Constants!$B$2 * PI()*(Table1[[#This Row],[Electrode Diameter(mm)]]/(10*2))^2, Constants!$B$4 * PI()*(Table1[[#This Row],[Electrode Diameter(mm)]]/(10*2))^2)</f>
        <v>13.145073398522275</v>
      </c>
      <c r="I75" s="12">
        <f t="shared" si="1"/>
        <v>11.173312388743934</v>
      </c>
      <c r="J75">
        <f>Table1[[#This Row],[Coating weight (mg)]]/Constants!$C$2</f>
        <v>10.376853660763098</v>
      </c>
      <c r="K75">
        <f>(Table1[[#This Row],[Coating weight (mg)]]/1000)/(((Table1[[#This Row],[Electrode Thickness(µm)]]-Constants!$E$4)*10^-4)*Constants!$C$4)</f>
        <v>-8.647378050635913</v>
      </c>
    </row>
    <row r="76" spans="1:11" x14ac:dyDescent="0.35">
      <c r="A76" s="28">
        <v>11802</v>
      </c>
      <c r="B76" t="s">
        <v>67</v>
      </c>
      <c r="C76" s="13" t="s">
        <v>68</v>
      </c>
      <c r="D76" t="s">
        <v>15</v>
      </c>
      <c r="E76">
        <v>21.9</v>
      </c>
      <c r="G76">
        <v>12.7</v>
      </c>
      <c r="H76">
        <f>Table1[[#This Row],[Total electrode weight (mg)]] - IF(ROW()&lt;40, Constants!$B$2 * PI()*(Table1[[#This Row],[Electrode Diameter(mm)]]/(10*2))^2, Constants!$B$4 * PI()*(Table1[[#This Row],[Electrode Diameter(mm)]]/(10*2))^2)</f>
        <v>17.845073398522274</v>
      </c>
      <c r="I76" s="12">
        <f t="shared" si="1"/>
        <v>16.595918260625716</v>
      </c>
      <c r="J76">
        <f>Table1[[#This Row],[Coating weight (mg)]]/Constants!$C$2</f>
        <v>14.08708111457627</v>
      </c>
      <c r="K76">
        <f>(Table1[[#This Row],[Coating weight (mg)]]/1000)/(((Table1[[#This Row],[Electrode Thickness(µm)]]-Constants!$E$4)*10^-4)*Constants!$C$4)</f>
        <v>-11.739234262146889</v>
      </c>
    </row>
    <row r="77" spans="1:11" x14ac:dyDescent="0.35">
      <c r="A77" s="28">
        <v>11803</v>
      </c>
      <c r="B77" t="s">
        <v>69</v>
      </c>
      <c r="C77" s="13" t="s">
        <v>68</v>
      </c>
      <c r="D77" t="s">
        <v>15</v>
      </c>
      <c r="E77">
        <v>22.9</v>
      </c>
      <c r="G77">
        <v>12.7</v>
      </c>
      <c r="H77">
        <f>Table1[[#This Row],[Total electrode weight (mg)]] - IF(ROW()&lt;40, Constants!$B$2 * PI()*(Table1[[#This Row],[Electrode Diameter(mm)]]/(10*2))^2, Constants!$B$4 * PI()*(Table1[[#This Row],[Electrode Diameter(mm)]]/(10*2))^2)</f>
        <v>18.845073398522274</v>
      </c>
      <c r="I77" s="12">
        <f t="shared" si="1"/>
        <v>17.525918260625716</v>
      </c>
      <c r="J77">
        <f>Table1[[#This Row],[Coating weight (mg)]]/Constants!$C$2</f>
        <v>14.876491211132263</v>
      </c>
      <c r="K77">
        <f>(Table1[[#This Row],[Coating weight (mg)]]/1000)/(((Table1[[#This Row],[Electrode Thickness(µm)]]-Constants!$E$4)*10^-4)*Constants!$C$4)</f>
        <v>-12.397076009276885</v>
      </c>
    </row>
    <row r="78" spans="1:11" x14ac:dyDescent="0.35">
      <c r="A78" s="28">
        <v>11804</v>
      </c>
      <c r="B78" t="s">
        <v>70</v>
      </c>
      <c r="C78" s="13" t="s">
        <v>68</v>
      </c>
      <c r="D78" t="s">
        <v>15</v>
      </c>
      <c r="E78">
        <v>23.3</v>
      </c>
      <c r="G78">
        <v>12.7</v>
      </c>
      <c r="H78">
        <f>Table1[[#This Row],[Total electrode weight (mg)]] - IF(ROW()&lt;40, Constants!$B$2 * PI()*(Table1[[#This Row],[Electrode Diameter(mm)]]/(10*2))^2, Constants!$B$4 * PI()*(Table1[[#This Row],[Electrode Diameter(mm)]]/(10*2))^2)</f>
        <v>19.245073398522276</v>
      </c>
      <c r="I78" s="12">
        <f t="shared" si="1"/>
        <v>17.897918260625719</v>
      </c>
      <c r="J78">
        <f>Table1[[#This Row],[Coating weight (mg)]]/Constants!$C$2</f>
        <v>15.192255249754663</v>
      </c>
      <c r="K78">
        <f>(Table1[[#This Row],[Coating weight (mg)]]/1000)/(((Table1[[#This Row],[Electrode Thickness(µm)]]-Constants!$E$4)*10^-4)*Constants!$C$4)</f>
        <v>-12.660212708128883</v>
      </c>
    </row>
    <row r="79" spans="1:11" x14ac:dyDescent="0.35">
      <c r="A79" s="28">
        <v>11805</v>
      </c>
      <c r="B79" t="s">
        <v>71</v>
      </c>
      <c r="C79" s="13" t="s">
        <v>68</v>
      </c>
      <c r="D79" t="s">
        <v>15</v>
      </c>
      <c r="E79">
        <v>22.6</v>
      </c>
      <c r="G79">
        <v>12.7</v>
      </c>
      <c r="H79">
        <f>Table1[[#This Row],[Total electrode weight (mg)]] - IF(ROW()&lt;40, Constants!$B$2 * PI()*(Table1[[#This Row],[Electrode Diameter(mm)]]/(10*2))^2, Constants!$B$4 * PI()*(Table1[[#This Row],[Electrode Diameter(mm)]]/(10*2))^2)</f>
        <v>18.545073398522277</v>
      </c>
      <c r="I79" s="12">
        <f t="shared" si="1"/>
        <v>17.246918260625719</v>
      </c>
      <c r="J79">
        <f>Table1[[#This Row],[Coating weight (mg)]]/Constants!$C$2</f>
        <v>14.639668182165467</v>
      </c>
      <c r="K79">
        <f>(Table1[[#This Row],[Coating weight (mg)]]/1000)/(((Table1[[#This Row],[Electrode Thickness(µm)]]-Constants!$E$4)*10^-4)*Constants!$C$4)</f>
        <v>-12.199723485137888</v>
      </c>
    </row>
    <row r="80" spans="1:11" x14ac:dyDescent="0.35">
      <c r="A80" s="28">
        <v>11806</v>
      </c>
      <c r="B80" t="s">
        <v>72</v>
      </c>
      <c r="C80" s="13" t="s">
        <v>68</v>
      </c>
      <c r="D80" t="s">
        <v>15</v>
      </c>
      <c r="E80" s="23">
        <v>21.8</v>
      </c>
      <c r="G80">
        <v>12.7</v>
      </c>
      <c r="H80">
        <f>Table1[[#This Row],[Total electrode weight (mg)]] - IF(ROW()&lt;40, Constants!$B$2 * PI()*(Table1[[#This Row],[Electrode Diameter(mm)]]/(10*2))^2, Constants!$B$4 * PI()*(Table1[[#This Row],[Electrode Diameter(mm)]]/(10*2))^2)</f>
        <v>17.745073398522276</v>
      </c>
      <c r="I80" s="12">
        <f t="shared" si="1"/>
        <v>16.502918260625719</v>
      </c>
      <c r="J80">
        <f>Table1[[#This Row],[Coating weight (mg)]]/Constants!$C$2</f>
        <v>14.008140104920672</v>
      </c>
      <c r="K80">
        <f>(Table1[[#This Row],[Coating weight (mg)]]/1000)/(((Table1[[#This Row],[Electrode Thickness(µm)]]-Constants!$E$4)*10^-4)*Constants!$C$4)</f>
        <v>-11.673450087433892</v>
      </c>
    </row>
    <row r="81" spans="1:11" x14ac:dyDescent="0.35">
      <c r="A81" s="28">
        <v>11807</v>
      </c>
      <c r="B81" t="s">
        <v>73</v>
      </c>
      <c r="C81" s="13" t="s">
        <v>68</v>
      </c>
      <c r="D81" t="s">
        <v>15</v>
      </c>
      <c r="E81">
        <v>23.4</v>
      </c>
      <c r="G81">
        <v>12.7</v>
      </c>
      <c r="H81">
        <f>Table1[[#This Row],[Total electrode weight (mg)]] - IF(ROW()&lt;40, Constants!$B$2 * PI()*(Table1[[#This Row],[Electrode Diameter(mm)]]/(10*2))^2, Constants!$B$4 * PI()*(Table1[[#This Row],[Electrode Diameter(mm)]]/(10*2))^2)</f>
        <v>19.345073398522274</v>
      </c>
      <c r="I81" s="12">
        <f t="shared" si="1"/>
        <v>17.990918260625715</v>
      </c>
      <c r="J81">
        <f>Table1[[#This Row],[Coating weight (mg)]]/Constants!$C$2</f>
        <v>15.27119625941026</v>
      </c>
      <c r="K81">
        <f>(Table1[[#This Row],[Coating weight (mg)]]/1000)/(((Table1[[#This Row],[Electrode Thickness(µm)]]-Constants!$E$4)*10^-4)*Constants!$C$4)</f>
        <v>-12.725996882841883</v>
      </c>
    </row>
    <row r="82" spans="1:11" x14ac:dyDescent="0.35">
      <c r="A82" s="28">
        <v>11815</v>
      </c>
      <c r="B82" t="s">
        <v>19</v>
      </c>
      <c r="C82" s="13" t="s">
        <v>64</v>
      </c>
      <c r="D82" t="s">
        <v>15</v>
      </c>
      <c r="E82">
        <v>21.2</v>
      </c>
      <c r="G82">
        <v>12.7</v>
      </c>
      <c r="H82">
        <f>Table1[[#This Row],[Total electrode weight (mg)]] - IF(ROW()&lt;40, Constants!$B$2 * PI()*(Table1[[#This Row],[Electrode Diameter(mm)]]/(10*2))^2, Constants!$B$4 * PI()*(Table1[[#This Row],[Electrode Diameter(mm)]]/(10*2))^2)</f>
        <v>17.145073398522275</v>
      </c>
      <c r="I82" s="12">
        <f t="shared" si="1"/>
        <v>15.944918260625716</v>
      </c>
      <c r="J82">
        <f>Table1[[#This Row],[Coating weight (mg)]]/Constants!$C$2</f>
        <v>13.534494046987074</v>
      </c>
      <c r="K82">
        <f>(Table1[[#This Row],[Coating weight (mg)]]/1000)/(((Table1[[#This Row],[Electrode Thickness(µm)]]-Constants!$E$4)*10^-4)*Constants!$C$4)</f>
        <v>-11.278745039155893</v>
      </c>
    </row>
    <row r="83" spans="1:11" x14ac:dyDescent="0.35">
      <c r="A83" s="28">
        <v>11816</v>
      </c>
      <c r="B83" t="s">
        <v>74</v>
      </c>
      <c r="C83" s="13" t="s">
        <v>64</v>
      </c>
      <c r="D83" t="s">
        <v>15</v>
      </c>
      <c r="E83">
        <v>22.3</v>
      </c>
      <c r="G83">
        <v>12.7</v>
      </c>
      <c r="H83">
        <f>Table1[[#This Row],[Total electrode weight (mg)]] - IF(ROW()&lt;40, Constants!$B$2 * PI()*(Table1[[#This Row],[Electrode Diameter(mm)]]/(10*2))^2, Constants!$B$4 * PI()*(Table1[[#This Row],[Electrode Diameter(mm)]]/(10*2))^2)</f>
        <v>18.245073398522276</v>
      </c>
      <c r="I83" s="12">
        <f t="shared" si="1"/>
        <v>16.967918260625719</v>
      </c>
      <c r="J83">
        <f>Table1[[#This Row],[Coating weight (mg)]]/Constants!$C$2</f>
        <v>14.402845153198669</v>
      </c>
      <c r="K83">
        <f>(Table1[[#This Row],[Coating weight (mg)]]/1000)/(((Table1[[#This Row],[Electrode Thickness(µm)]]-Constants!$E$4)*10^-4)*Constants!$C$4)</f>
        <v>-12.002370960998888</v>
      </c>
    </row>
    <row r="84" spans="1:11" x14ac:dyDescent="0.35">
      <c r="A84" s="28">
        <v>11817</v>
      </c>
      <c r="B84" t="s">
        <v>51</v>
      </c>
      <c r="C84" s="13" t="s">
        <v>64</v>
      </c>
      <c r="D84" t="s">
        <v>15</v>
      </c>
      <c r="E84">
        <v>22.8</v>
      </c>
      <c r="G84">
        <v>12.7</v>
      </c>
      <c r="H84">
        <f>Table1[[#This Row],[Total electrode weight (mg)]] - IF(ROW()&lt;40, Constants!$B$2 * PI()*(Table1[[#This Row],[Electrode Diameter(mm)]]/(10*2))^2, Constants!$B$4 * PI()*(Table1[[#This Row],[Electrode Diameter(mm)]]/(10*2))^2)</f>
        <v>18.745073398522276</v>
      </c>
      <c r="I84" s="12">
        <f t="shared" si="1"/>
        <v>17.432918260625719</v>
      </c>
      <c r="J84">
        <f>Table1[[#This Row],[Coating weight (mg)]]/Constants!$C$2</f>
        <v>14.797550201476666</v>
      </c>
      <c r="K84">
        <f>(Table1[[#This Row],[Coating weight (mg)]]/1000)/(((Table1[[#This Row],[Electrode Thickness(µm)]]-Constants!$E$4)*10^-4)*Constants!$C$4)</f>
        <v>-12.331291834563887</v>
      </c>
    </row>
    <row r="85" spans="1:11" x14ac:dyDescent="0.35">
      <c r="A85" s="28">
        <v>11818</v>
      </c>
      <c r="B85" t="s">
        <v>75</v>
      </c>
      <c r="C85" s="13" t="s">
        <v>64</v>
      </c>
      <c r="D85" t="s">
        <v>15</v>
      </c>
      <c r="E85">
        <v>21.2</v>
      </c>
      <c r="G85">
        <v>12.7</v>
      </c>
      <c r="H85">
        <f>Table1[[#This Row],[Total electrode weight (mg)]] - IF(ROW()&lt;40, Constants!$B$2 * PI()*(Table1[[#This Row],[Electrode Diameter(mm)]]/(10*2))^2, Constants!$B$4 * PI()*(Table1[[#This Row],[Electrode Diameter(mm)]]/(10*2))^2)</f>
        <v>17.145073398522275</v>
      </c>
      <c r="I85" s="12">
        <f t="shared" si="1"/>
        <v>15.944918260625716</v>
      </c>
      <c r="J85">
        <f>Table1[[#This Row],[Coating weight (mg)]]/Constants!$C$2</f>
        <v>13.534494046987074</v>
      </c>
      <c r="K85">
        <f>(Table1[[#This Row],[Coating weight (mg)]]/1000)/(((Table1[[#This Row],[Electrode Thickness(µm)]]-Constants!$E$4)*10^-4)*Constants!$C$4)</f>
        <v>-11.278745039155893</v>
      </c>
    </row>
    <row r="86" spans="1:11" x14ac:dyDescent="0.35">
      <c r="A86" s="28">
        <v>11819</v>
      </c>
      <c r="B86" t="s">
        <v>13</v>
      </c>
      <c r="C86" s="13" t="s">
        <v>64</v>
      </c>
      <c r="D86" t="s">
        <v>15</v>
      </c>
      <c r="E86">
        <v>22.4</v>
      </c>
      <c r="G86">
        <v>12.7</v>
      </c>
      <c r="H86">
        <f>Table1[[#This Row],[Total electrode weight (mg)]] - IF(ROW()&lt;40, Constants!$B$2 * PI()*(Table1[[#This Row],[Electrode Diameter(mm)]]/(10*2))^2, Constants!$B$4 * PI()*(Table1[[#This Row],[Electrode Diameter(mm)]]/(10*2))^2)</f>
        <v>18.345073398522274</v>
      </c>
      <c r="I86" s="12">
        <f t="shared" si="1"/>
        <v>17.060918260625716</v>
      </c>
      <c r="J86">
        <f>Table1[[#This Row],[Coating weight (mg)]]/Constants!$C$2</f>
        <v>14.481786162854267</v>
      </c>
      <c r="K86">
        <f>(Table1[[#This Row],[Coating weight (mg)]]/1000)/(((Table1[[#This Row],[Electrode Thickness(µm)]]-Constants!$E$4)*10^-4)*Constants!$C$4)</f>
        <v>-12.068155135711887</v>
      </c>
    </row>
    <row r="87" spans="1:11" x14ac:dyDescent="0.35">
      <c r="A87" s="28">
        <v>11820</v>
      </c>
      <c r="B87" t="s">
        <v>76</v>
      </c>
      <c r="C87" s="13" t="s">
        <v>77</v>
      </c>
      <c r="D87" t="s">
        <v>66</v>
      </c>
      <c r="E87">
        <v>21</v>
      </c>
      <c r="G87">
        <v>12.7</v>
      </c>
      <c r="H87">
        <f>Table1[[#This Row],[Total electrode weight (mg)]] - IF(ROW()&lt;40, Constants!$B$2 * PI()*(Table1[[#This Row],[Electrode Diameter(mm)]]/(10*2))^2, Constants!$B$4 * PI()*(Table1[[#This Row],[Electrode Diameter(mm)]]/(10*2))^2)</f>
        <v>16.945073398522275</v>
      </c>
      <c r="I87" s="12">
        <f t="shared" si="1"/>
        <v>14.403312388743934</v>
      </c>
      <c r="J87">
        <f>Table1[[#This Row],[Coating weight (mg)]]/Constants!$C$2</f>
        <v>13.376612027675876</v>
      </c>
      <c r="K87">
        <f>(Table1[[#This Row],[Coating weight (mg)]]/1000)/(((Table1[[#This Row],[Electrode Thickness(µm)]]-Constants!$E$4)*10^-4)*Constants!$C$4)</f>
        <v>-11.147176689729895</v>
      </c>
    </row>
    <row r="88" spans="1:11" x14ac:dyDescent="0.35">
      <c r="A88" s="28">
        <v>11821</v>
      </c>
      <c r="C88" s="13" t="s">
        <v>77</v>
      </c>
      <c r="D88" t="s">
        <v>66</v>
      </c>
      <c r="E88">
        <v>20.100000000000001</v>
      </c>
      <c r="G88">
        <v>12.7</v>
      </c>
      <c r="H88">
        <f>Table1[[#This Row],[Total electrode weight (mg)]] - IF(ROW()&lt;40, Constants!$B$2 * PI()*(Table1[[#This Row],[Electrode Diameter(mm)]]/(10*2))^2, Constants!$B$4 * PI()*(Table1[[#This Row],[Electrode Diameter(mm)]]/(10*2))^2)</f>
        <v>16.045073398522277</v>
      </c>
      <c r="I88" s="12">
        <f t="shared" si="1"/>
        <v>13.638312388743936</v>
      </c>
      <c r="J88">
        <f>Table1[[#This Row],[Coating weight (mg)]]/Constants!$C$2</f>
        <v>12.666142940775483</v>
      </c>
      <c r="K88">
        <f>(Table1[[#This Row],[Coating weight (mg)]]/1000)/(((Table1[[#This Row],[Electrode Thickness(µm)]]-Constants!$E$4)*10^-4)*Constants!$C$4)</f>
        <v>-10.555119117312902</v>
      </c>
    </row>
    <row r="89" spans="1:11" x14ac:dyDescent="0.35">
      <c r="A89" s="28">
        <v>11822</v>
      </c>
      <c r="B89" t="s">
        <v>78</v>
      </c>
      <c r="C89" s="13" t="s">
        <v>77</v>
      </c>
      <c r="D89" t="s">
        <v>66</v>
      </c>
      <c r="E89">
        <v>19.2</v>
      </c>
      <c r="G89">
        <v>12.7</v>
      </c>
      <c r="H89">
        <f>Table1[[#This Row],[Total electrode weight (mg)]] - IF(ROW()&lt;40, Constants!$B$2 * PI()*(Table1[[#This Row],[Electrode Diameter(mm)]]/(10*2))^2, Constants!$B$4 * PI()*(Table1[[#This Row],[Electrode Diameter(mm)]]/(10*2))^2)</f>
        <v>15.145073398522275</v>
      </c>
      <c r="I89" s="12">
        <f t="shared" si="1"/>
        <v>12.873312388743933</v>
      </c>
      <c r="J89">
        <f>Table1[[#This Row],[Coating weight (mg)]]/Constants!$C$2</f>
        <v>11.955673853875085</v>
      </c>
      <c r="K89">
        <f>(Table1[[#This Row],[Coating weight (mg)]]/1000)/(((Table1[[#This Row],[Electrode Thickness(µm)]]-Constants!$E$4)*10^-4)*Constants!$C$4)</f>
        <v>-9.9630615448959041</v>
      </c>
    </row>
    <row r="90" spans="1:11" x14ac:dyDescent="0.35">
      <c r="A90" s="28">
        <v>11823</v>
      </c>
      <c r="B90" t="s">
        <v>79</v>
      </c>
      <c r="C90" s="13" t="s">
        <v>77</v>
      </c>
      <c r="D90" t="s">
        <v>66</v>
      </c>
      <c r="E90">
        <v>20.8</v>
      </c>
      <c r="G90">
        <v>12.7</v>
      </c>
      <c r="H90">
        <f>Table1[[#This Row],[Total electrode weight (mg)]] - IF(ROW()&lt;40, Constants!$B$2 * PI()*(Table1[[#This Row],[Electrode Diameter(mm)]]/(10*2))^2, Constants!$B$4 * PI()*(Table1[[#This Row],[Electrode Diameter(mm)]]/(10*2))^2)</f>
        <v>16.745073398522276</v>
      </c>
      <c r="I90" s="12">
        <f t="shared" si="1"/>
        <v>14.233312388743935</v>
      </c>
      <c r="J90">
        <f>Table1[[#This Row],[Coating weight (mg)]]/Constants!$C$2</f>
        <v>13.218730008364679</v>
      </c>
      <c r="K90">
        <f>(Table1[[#This Row],[Coating weight (mg)]]/1000)/(((Table1[[#This Row],[Electrode Thickness(µm)]]-Constants!$E$4)*10^-4)*Constants!$C$4)</f>
        <v>-11.015608340303897</v>
      </c>
    </row>
    <row r="91" spans="1:11" x14ac:dyDescent="0.35">
      <c r="A91" s="28">
        <v>11824</v>
      </c>
      <c r="B91" t="s">
        <v>24</v>
      </c>
      <c r="C91" s="13" t="s">
        <v>80</v>
      </c>
      <c r="D91" t="s">
        <v>15</v>
      </c>
      <c r="E91">
        <v>24.5</v>
      </c>
      <c r="G91">
        <v>12.7</v>
      </c>
      <c r="H91">
        <f>Table1[[#This Row],[Total electrode weight (mg)]] - IF(ROW()&lt;40, Constants!$B$2 * PI()*(Table1[[#This Row],[Electrode Diameter(mm)]]/(10*2))^2, Constants!$B$4 * PI()*(Table1[[#This Row],[Electrode Diameter(mm)]]/(10*2))^2)</f>
        <v>20.445073398522275</v>
      </c>
      <c r="I91" s="12">
        <f t="shared" si="1"/>
        <v>19.013918260625719</v>
      </c>
      <c r="J91">
        <f>Table1[[#This Row],[Coating weight (mg)]]/Constants!$C$2</f>
        <v>16.139547365621855</v>
      </c>
      <c r="K91">
        <f>(Table1[[#This Row],[Coating weight (mg)]]/1000)/(((Table1[[#This Row],[Electrode Thickness(µm)]]-Constants!$E$4)*10^-4)*Constants!$C$4)</f>
        <v>-13.449622804684877</v>
      </c>
    </row>
    <row r="92" spans="1:11" x14ac:dyDescent="0.35">
      <c r="A92" s="28">
        <v>11825</v>
      </c>
      <c r="B92" t="s">
        <v>32</v>
      </c>
      <c r="C92" s="13" t="s">
        <v>80</v>
      </c>
      <c r="D92" t="s">
        <v>15</v>
      </c>
      <c r="E92">
        <v>24.2</v>
      </c>
      <c r="G92">
        <v>12.7</v>
      </c>
      <c r="H92">
        <f>Table1[[#This Row],[Total electrode weight (mg)]] - IF(ROW()&lt;40, Constants!$B$2 * PI()*(Table1[[#This Row],[Electrode Diameter(mm)]]/(10*2))^2, Constants!$B$4 * PI()*(Table1[[#This Row],[Electrode Diameter(mm)]]/(10*2))^2)</f>
        <v>20.145073398522275</v>
      </c>
      <c r="I92" s="12">
        <f t="shared" si="1"/>
        <v>18.734918260625715</v>
      </c>
      <c r="J92">
        <f>Table1[[#This Row],[Coating weight (mg)]]/Constants!$C$2</f>
        <v>15.902724336655057</v>
      </c>
      <c r="K92">
        <f>(Table1[[#This Row],[Coating weight (mg)]]/1000)/(((Table1[[#This Row],[Electrode Thickness(µm)]]-Constants!$E$4)*10^-4)*Constants!$C$4)</f>
        <v>-13.252270280545877</v>
      </c>
    </row>
    <row r="93" spans="1:11" x14ac:dyDescent="0.35">
      <c r="A93" s="28">
        <v>11826</v>
      </c>
      <c r="B93" t="s">
        <v>34</v>
      </c>
      <c r="C93" s="13" t="s">
        <v>80</v>
      </c>
      <c r="D93" t="s">
        <v>15</v>
      </c>
      <c r="E93">
        <v>23.8</v>
      </c>
      <c r="G93">
        <v>12.7</v>
      </c>
      <c r="H93">
        <f>Table1[[#This Row],[Total electrode weight (mg)]] - IF(ROW()&lt;40, Constants!$B$2 * PI()*(Table1[[#This Row],[Electrode Diameter(mm)]]/(10*2))^2, Constants!$B$4 * PI()*(Table1[[#This Row],[Electrode Diameter(mm)]]/(10*2))^2)</f>
        <v>19.745073398522276</v>
      </c>
      <c r="I93" s="12">
        <f t="shared" si="1"/>
        <v>18.362918260625719</v>
      </c>
      <c r="J93">
        <f>Table1[[#This Row],[Coating weight (mg)]]/Constants!$C$2</f>
        <v>15.586960298032659</v>
      </c>
      <c r="K93">
        <f>(Table1[[#This Row],[Coating weight (mg)]]/1000)/(((Table1[[#This Row],[Electrode Thickness(µm)]]-Constants!$E$4)*10^-4)*Constants!$C$4)</f>
        <v>-12.989133581693881</v>
      </c>
    </row>
    <row r="94" spans="1:11" x14ac:dyDescent="0.35">
      <c r="A94" s="28">
        <v>11827</v>
      </c>
      <c r="B94" t="s">
        <v>35</v>
      </c>
      <c r="C94" s="13" t="s">
        <v>80</v>
      </c>
      <c r="D94" t="s">
        <v>15</v>
      </c>
      <c r="E94">
        <v>22.8</v>
      </c>
      <c r="G94">
        <v>12.7</v>
      </c>
      <c r="H94">
        <f>Table1[[#This Row],[Total electrode weight (mg)]] - IF(ROW()&lt;40, Constants!$B$2 * PI()*(Table1[[#This Row],[Electrode Diameter(mm)]]/(10*2))^2, Constants!$B$4 * PI()*(Table1[[#This Row],[Electrode Diameter(mm)]]/(10*2))^2)</f>
        <v>18.745073398522276</v>
      </c>
      <c r="I94" s="12">
        <f t="shared" si="1"/>
        <v>17.432918260625719</v>
      </c>
      <c r="J94">
        <f>Table1[[#This Row],[Coating weight (mg)]]/Constants!$C$2</f>
        <v>14.797550201476666</v>
      </c>
      <c r="K94">
        <f>(Table1[[#This Row],[Coating weight (mg)]]/1000)/(((Table1[[#This Row],[Electrode Thickness(µm)]]-Constants!$E$4)*10^-4)*Constants!$C$4)</f>
        <v>-12.331291834563887</v>
      </c>
    </row>
    <row r="95" spans="1:11" x14ac:dyDescent="0.35">
      <c r="A95" s="28">
        <v>11828</v>
      </c>
      <c r="B95" t="s">
        <v>42</v>
      </c>
      <c r="C95" s="13" t="s">
        <v>81</v>
      </c>
      <c r="D95" t="s">
        <v>15</v>
      </c>
      <c r="E95">
        <v>21.1</v>
      </c>
      <c r="G95">
        <v>12.7</v>
      </c>
      <c r="H95">
        <f>Table1[[#This Row],[Total electrode weight (mg)]] - IF(ROW()&lt;40, Constants!$B$2 * PI()*(Table1[[#This Row],[Electrode Diameter(mm)]]/(10*2))^2, Constants!$B$4 * PI()*(Table1[[#This Row],[Electrode Diameter(mm)]]/(10*2))^2)</f>
        <v>17.045073398522277</v>
      </c>
      <c r="I95" s="12">
        <f t="shared" si="1"/>
        <v>15.851918260625718</v>
      </c>
      <c r="J95">
        <f>Table1[[#This Row],[Coating weight (mg)]]/Constants!$C$2</f>
        <v>13.455553037331477</v>
      </c>
      <c r="K95">
        <f>(Table1[[#This Row],[Coating weight (mg)]]/1000)/(((Table1[[#This Row],[Electrode Thickness(µm)]]-Constants!$E$4)*10^-4)*Constants!$C$4)</f>
        <v>-11.212960864442897</v>
      </c>
    </row>
    <row r="96" spans="1:11" x14ac:dyDescent="0.35">
      <c r="A96" s="28">
        <v>11829</v>
      </c>
      <c r="B96" t="s">
        <v>16</v>
      </c>
      <c r="C96" s="13" t="s">
        <v>81</v>
      </c>
      <c r="D96" t="s">
        <v>15</v>
      </c>
      <c r="E96">
        <v>21.4</v>
      </c>
      <c r="G96">
        <v>12.7</v>
      </c>
      <c r="H96">
        <f>Table1[[#This Row],[Total electrode weight (mg)]] - IF(ROW()&lt;40, Constants!$B$2 * PI()*(Table1[[#This Row],[Electrode Diameter(mm)]]/(10*2))^2, Constants!$B$4 * PI()*(Table1[[#This Row],[Electrode Diameter(mm)]]/(10*2))^2)</f>
        <v>17.345073398522274</v>
      </c>
      <c r="I96" s="12">
        <f t="shared" si="1"/>
        <v>16.130918260625716</v>
      </c>
      <c r="J96">
        <f>Table1[[#This Row],[Coating weight (mg)]]/Constants!$C$2</f>
        <v>13.692376066298273</v>
      </c>
      <c r="K96">
        <f>(Table1[[#This Row],[Coating weight (mg)]]/1000)/(((Table1[[#This Row],[Electrode Thickness(µm)]]-Constants!$E$4)*10^-4)*Constants!$C$4)</f>
        <v>-11.410313388581892</v>
      </c>
    </row>
    <row r="97" spans="1:11" x14ac:dyDescent="0.35">
      <c r="A97" s="28">
        <v>11830</v>
      </c>
      <c r="B97" t="s">
        <v>52</v>
      </c>
      <c r="C97" s="13" t="s">
        <v>81</v>
      </c>
      <c r="D97" t="s">
        <v>15</v>
      </c>
      <c r="E97">
        <v>21.3</v>
      </c>
      <c r="G97">
        <v>12.7</v>
      </c>
      <c r="H97">
        <f>Table1[[#This Row],[Total electrode weight (mg)]] - IF(ROW()&lt;40, Constants!$B$2 * PI()*(Table1[[#This Row],[Electrode Diameter(mm)]]/(10*2))^2, Constants!$B$4 * PI()*(Table1[[#This Row],[Electrode Diameter(mm)]]/(10*2))^2)</f>
        <v>17.245073398522276</v>
      </c>
      <c r="I97" s="12">
        <f t="shared" si="1"/>
        <v>16.037918260625716</v>
      </c>
      <c r="J97">
        <f>Table1[[#This Row],[Coating weight (mg)]]/Constants!$C$2</f>
        <v>13.613435056642675</v>
      </c>
      <c r="K97">
        <f>(Table1[[#This Row],[Coating weight (mg)]]/1000)/(((Table1[[#This Row],[Electrode Thickness(µm)]]-Constants!$E$4)*10^-4)*Constants!$C$4)</f>
        <v>-11.344529213868896</v>
      </c>
    </row>
    <row r="98" spans="1:11" x14ac:dyDescent="0.35">
      <c r="A98" s="28">
        <v>11831</v>
      </c>
      <c r="B98" t="s">
        <v>82</v>
      </c>
      <c r="C98" s="13" t="s">
        <v>81</v>
      </c>
      <c r="D98" t="s">
        <v>15</v>
      </c>
      <c r="E98">
        <v>21.8</v>
      </c>
      <c r="G98">
        <v>12.7</v>
      </c>
      <c r="H98">
        <f>Table1[[#This Row],[Total electrode weight (mg)]] - IF(ROW()&lt;40, Constants!$B$2 * PI()*(Table1[[#This Row],[Electrode Diameter(mm)]]/(10*2))^2, Constants!$B$4 * PI()*(Table1[[#This Row],[Electrode Diameter(mm)]]/(10*2))^2)</f>
        <v>17.745073398522276</v>
      </c>
      <c r="I98" s="12">
        <f t="shared" si="1"/>
        <v>16.502918260625719</v>
      </c>
      <c r="J98">
        <f>Table1[[#This Row],[Coating weight (mg)]]/Constants!$C$2</f>
        <v>14.008140104920672</v>
      </c>
      <c r="K98">
        <f>(Table1[[#This Row],[Coating weight (mg)]]/1000)/(((Table1[[#This Row],[Electrode Thickness(µm)]]-Constants!$E$4)*10^-4)*Constants!$C$4)</f>
        <v>-11.673450087433892</v>
      </c>
    </row>
    <row r="99" spans="1:11" x14ac:dyDescent="0.35">
      <c r="A99" s="28">
        <v>11832</v>
      </c>
      <c r="B99" t="s">
        <v>83</v>
      </c>
      <c r="C99" s="13" t="s">
        <v>81</v>
      </c>
      <c r="D99" t="s">
        <v>15</v>
      </c>
      <c r="E99">
        <v>21.5</v>
      </c>
      <c r="G99">
        <v>12.7</v>
      </c>
      <c r="H99">
        <f>Table1[[#This Row],[Total electrode weight (mg)]] - IF(ROW()&lt;40, Constants!$B$2 * PI()*(Table1[[#This Row],[Electrode Diameter(mm)]]/(10*2))^2, Constants!$B$4 * PI()*(Table1[[#This Row],[Electrode Diameter(mm)]]/(10*2))^2)</f>
        <v>17.445073398522275</v>
      </c>
      <c r="I99" s="12">
        <f t="shared" si="1"/>
        <v>16.223918260625716</v>
      </c>
      <c r="J99">
        <f>Table1[[#This Row],[Coating weight (mg)]]/Constants!$C$2</f>
        <v>13.771317075953872</v>
      </c>
      <c r="K99">
        <f>(Table1[[#This Row],[Coating weight (mg)]]/1000)/(((Table1[[#This Row],[Electrode Thickness(µm)]]-Constants!$E$4)*10^-4)*Constants!$C$4)</f>
        <v>-11.476097563294893</v>
      </c>
    </row>
    <row r="100" spans="1:11" x14ac:dyDescent="0.35">
      <c r="A100" s="28">
        <v>11833</v>
      </c>
      <c r="B100" t="s">
        <v>18</v>
      </c>
      <c r="C100" s="13" t="s">
        <v>84</v>
      </c>
      <c r="D100" t="s">
        <v>66</v>
      </c>
      <c r="E100">
        <v>19.7</v>
      </c>
      <c r="G100">
        <v>12.7</v>
      </c>
      <c r="H100">
        <f>Table1[[#This Row],[Total electrode weight (mg)]] - IF(ROW()&lt;40, Constants!$B$2 * PI()*(Table1[[#This Row],[Electrode Diameter(mm)]]/(10*2))^2, Constants!$B$4 * PI()*(Table1[[#This Row],[Electrode Diameter(mm)]]/(10*2))^2)</f>
        <v>15.645073398522275</v>
      </c>
      <c r="I100" s="12">
        <f t="shared" si="1"/>
        <v>13.298312388743934</v>
      </c>
      <c r="J100">
        <f>Table1[[#This Row],[Coating weight (mg)]]/Constants!$C$2</f>
        <v>12.350378902153084</v>
      </c>
      <c r="K100">
        <f>(Table1[[#This Row],[Coating weight (mg)]]/1000)/(((Table1[[#This Row],[Electrode Thickness(µm)]]-Constants!$E$4)*10^-4)*Constants!$C$4)</f>
        <v>-10.291982418460901</v>
      </c>
    </row>
    <row r="101" spans="1:11" x14ac:dyDescent="0.35">
      <c r="A101" s="28">
        <v>11834</v>
      </c>
      <c r="B101" t="s">
        <v>27</v>
      </c>
      <c r="C101" s="13" t="s">
        <v>84</v>
      </c>
      <c r="D101" t="s">
        <v>66</v>
      </c>
      <c r="E101">
        <v>20.7</v>
      </c>
      <c r="G101">
        <v>12.7</v>
      </c>
      <c r="H101">
        <f>Table1[[#This Row],[Total electrode weight (mg)]] - IF(ROW()&lt;40, Constants!$B$2 * PI()*(Table1[[#This Row],[Electrode Diameter(mm)]]/(10*2))^2, Constants!$B$4 * PI()*(Table1[[#This Row],[Electrode Diameter(mm)]]/(10*2))^2)</f>
        <v>16.645073398522275</v>
      </c>
      <c r="I101" s="12">
        <f t="shared" si="1"/>
        <v>14.148312388743934</v>
      </c>
      <c r="J101">
        <f>Table1[[#This Row],[Coating weight (mg)]]/Constants!$C$2</f>
        <v>13.139788998709077</v>
      </c>
      <c r="K101">
        <f>(Table1[[#This Row],[Coating weight (mg)]]/1000)/(((Table1[[#This Row],[Electrode Thickness(µm)]]-Constants!$E$4)*10^-4)*Constants!$C$4)</f>
        <v>-10.949824165590895</v>
      </c>
    </row>
    <row r="102" spans="1:11" x14ac:dyDescent="0.35">
      <c r="A102" s="28">
        <v>11835</v>
      </c>
      <c r="B102" t="s">
        <v>28</v>
      </c>
      <c r="C102" s="13" t="s">
        <v>84</v>
      </c>
      <c r="D102" t="s">
        <v>66</v>
      </c>
      <c r="E102">
        <v>20.2</v>
      </c>
      <c r="G102">
        <v>12.7</v>
      </c>
      <c r="H102">
        <f>Table1[[#This Row],[Total electrode weight (mg)]] - IF(ROW()&lt;40, Constants!$B$2 * PI()*(Table1[[#This Row],[Electrode Diameter(mm)]]/(10*2))^2, Constants!$B$4 * PI()*(Table1[[#This Row],[Electrode Diameter(mm)]]/(10*2))^2)</f>
        <v>16.145073398522275</v>
      </c>
      <c r="I102" s="12">
        <f t="shared" si="1"/>
        <v>13.723312388743933</v>
      </c>
      <c r="J102">
        <f>Table1[[#This Row],[Coating weight (mg)]]/Constants!$C$2</f>
        <v>12.745083950431081</v>
      </c>
      <c r="K102">
        <f>(Table1[[#This Row],[Coating weight (mg)]]/1000)/(((Table1[[#This Row],[Electrode Thickness(µm)]]-Constants!$E$4)*10^-4)*Constants!$C$4)</f>
        <v>-10.620903292025899</v>
      </c>
    </row>
    <row r="103" spans="1:11" x14ac:dyDescent="0.35">
      <c r="A103" s="28">
        <v>11836</v>
      </c>
      <c r="B103" t="s">
        <v>85</v>
      </c>
      <c r="C103" s="13" t="s">
        <v>84</v>
      </c>
      <c r="D103" t="s">
        <v>66</v>
      </c>
      <c r="E103">
        <v>19.7</v>
      </c>
      <c r="G103">
        <v>12.7</v>
      </c>
      <c r="H103">
        <f>Table1[[#This Row],[Total electrode weight (mg)]] - IF(ROW()&lt;40, Constants!$B$2 * PI()*(Table1[[#This Row],[Electrode Diameter(mm)]]/(10*2))^2, Constants!$B$4 * PI()*(Table1[[#This Row],[Electrode Diameter(mm)]]/(10*2))^2)</f>
        <v>15.645073398522275</v>
      </c>
      <c r="I103" s="12">
        <f t="shared" si="1"/>
        <v>13.298312388743934</v>
      </c>
      <c r="J103">
        <f>Table1[[#This Row],[Coating weight (mg)]]/Constants!$C$2</f>
        <v>12.350378902153084</v>
      </c>
      <c r="K103">
        <f>(Table1[[#This Row],[Coating weight (mg)]]/1000)/(((Table1[[#This Row],[Electrode Thickness(µm)]]-Constants!$E$4)*10^-4)*Constants!$C$4)</f>
        <v>-10.291982418460901</v>
      </c>
    </row>
    <row r="104" spans="1:11" x14ac:dyDescent="0.35">
      <c r="A104" s="28">
        <v>11846</v>
      </c>
      <c r="B104" t="s">
        <v>19</v>
      </c>
      <c r="C104" s="13" t="s">
        <v>86</v>
      </c>
      <c r="D104" t="s">
        <v>66</v>
      </c>
      <c r="E104">
        <v>24.5</v>
      </c>
      <c r="G104">
        <v>12.7</v>
      </c>
      <c r="H104">
        <f>Table1[[#This Row],[Total electrode weight (mg)]] - IF(ROW()&lt;40, Constants!$B$2 * PI()*(Table1[[#This Row],[Electrode Diameter(mm)]]/(10*2))^2, Constants!$B$4 * PI()*(Table1[[#This Row],[Electrode Diameter(mm)]]/(10*2))^2)</f>
        <v>20.445073398522275</v>
      </c>
      <c r="I104" s="12">
        <f t="shared" si="1"/>
        <v>17.378312388743932</v>
      </c>
      <c r="J104">
        <f>Table1[[#This Row],[Coating weight (mg)]]/Constants!$C$2</f>
        <v>16.139547365621855</v>
      </c>
      <c r="K104">
        <f>(Table1[[#This Row],[Coating weight (mg)]]/1000)/(((Table1[[#This Row],[Electrode Thickness(µm)]]-Constants!$E$4)*10^-4)*Constants!$C$4)</f>
        <v>-13.449622804684877</v>
      </c>
    </row>
    <row r="105" spans="1:11" x14ac:dyDescent="0.35">
      <c r="A105" s="28">
        <v>11847</v>
      </c>
      <c r="B105" t="s">
        <v>74</v>
      </c>
      <c r="C105" s="13" t="s">
        <v>86</v>
      </c>
      <c r="D105" t="s">
        <v>66</v>
      </c>
      <c r="E105">
        <v>20.5</v>
      </c>
      <c r="G105">
        <v>12.7</v>
      </c>
      <c r="H105">
        <f>Table1[[#This Row],[Total electrode weight (mg)]] - IF(ROW()&lt;40, Constants!$B$2 * PI()*(Table1[[#This Row],[Electrode Diameter(mm)]]/(10*2))^2, Constants!$B$4 * PI()*(Table1[[#This Row],[Electrode Diameter(mm)]]/(10*2))^2)</f>
        <v>16.445073398522275</v>
      </c>
      <c r="I105" s="12">
        <f t="shared" si="1"/>
        <v>13.978312388743934</v>
      </c>
      <c r="J105">
        <f>Table1[[#This Row],[Coating weight (mg)]]/Constants!$C$2</f>
        <v>12.981906979397879</v>
      </c>
      <c r="K105">
        <f>(Table1[[#This Row],[Coating weight (mg)]]/1000)/(((Table1[[#This Row],[Electrode Thickness(µm)]]-Constants!$E$4)*10^-4)*Constants!$C$4)</f>
        <v>-10.818255816164898</v>
      </c>
    </row>
    <row r="106" spans="1:11" x14ac:dyDescent="0.35">
      <c r="A106" s="28">
        <v>11848</v>
      </c>
      <c r="B106" t="s">
        <v>51</v>
      </c>
      <c r="C106" s="13" t="s">
        <v>86</v>
      </c>
      <c r="D106" t="s">
        <v>66</v>
      </c>
      <c r="E106">
        <v>19.2</v>
      </c>
      <c r="G106">
        <v>12.7</v>
      </c>
      <c r="H106">
        <f>Table1[[#This Row],[Total electrode weight (mg)]] - IF(ROW()&lt;40, Constants!$B$2 * PI()*(Table1[[#This Row],[Electrode Diameter(mm)]]/(10*2))^2, Constants!$B$4 * PI()*(Table1[[#This Row],[Electrode Diameter(mm)]]/(10*2))^2)</f>
        <v>15.145073398522275</v>
      </c>
      <c r="I106" s="12">
        <f t="shared" si="1"/>
        <v>12.873312388743933</v>
      </c>
      <c r="J106">
        <f>Table1[[#This Row],[Coating weight (mg)]]/Constants!$C$2</f>
        <v>11.955673853875085</v>
      </c>
      <c r="K106">
        <f>(Table1[[#This Row],[Coating weight (mg)]]/1000)/(((Table1[[#This Row],[Electrode Thickness(µm)]]-Constants!$E$4)*10^-4)*Constants!$C$4)</f>
        <v>-9.9630615448959041</v>
      </c>
    </row>
    <row r="107" spans="1:11" x14ac:dyDescent="0.35">
      <c r="A107" s="28">
        <v>11853</v>
      </c>
      <c r="B107" t="s">
        <v>32</v>
      </c>
      <c r="C107" s="13" t="s">
        <v>87</v>
      </c>
      <c r="D107" t="s">
        <v>15</v>
      </c>
      <c r="E107">
        <v>21</v>
      </c>
      <c r="G107">
        <v>12.7</v>
      </c>
      <c r="H107">
        <f>Table1[[#This Row],[Total electrode weight (mg)]] - IF(ROW()&lt;40, Constants!$B$2 * PI()*(Table1[[#This Row],[Electrode Diameter(mm)]]/(10*2))^2, Constants!$B$4 * PI()*(Table1[[#This Row],[Electrode Diameter(mm)]]/(10*2))^2)</f>
        <v>16.945073398522275</v>
      </c>
      <c r="I107" s="12">
        <f t="shared" si="1"/>
        <v>15.758918260625718</v>
      </c>
      <c r="J107">
        <f>Table1[[#This Row],[Coating weight (mg)]]/Constants!$C$2</f>
        <v>13.376612027675876</v>
      </c>
      <c r="K107">
        <f>(Table1[[#This Row],[Coating weight (mg)]]/1000)/(((Table1[[#This Row],[Electrode Thickness(µm)]]-Constants!$E$4)*10^-4)*Constants!$C$4)</f>
        <v>-11.147176689729895</v>
      </c>
    </row>
    <row r="108" spans="1:11" x14ac:dyDescent="0.35">
      <c r="A108" s="28">
        <v>11854</v>
      </c>
      <c r="B108" t="s">
        <v>34</v>
      </c>
      <c r="C108" s="13" t="s">
        <v>87</v>
      </c>
      <c r="D108" t="s">
        <v>15</v>
      </c>
      <c r="E108">
        <v>20.6</v>
      </c>
      <c r="G108">
        <v>12.7</v>
      </c>
      <c r="H108">
        <f>Table1[[#This Row],[Total electrode weight (mg)]] - IF(ROW()&lt;40, Constants!$B$2 * PI()*(Table1[[#This Row],[Electrode Diameter(mm)]]/(10*2))^2, Constants!$B$4 * PI()*(Table1[[#This Row],[Electrode Diameter(mm)]]/(10*2))^2)</f>
        <v>16.545073398522277</v>
      </c>
      <c r="I108" s="12">
        <f t="shared" si="1"/>
        <v>15.386918260625718</v>
      </c>
      <c r="J108">
        <f>Table1[[#This Row],[Coating weight (mg)]]/Constants!$C$2</f>
        <v>13.06084798905348</v>
      </c>
      <c r="K108">
        <f>(Table1[[#This Row],[Coating weight (mg)]]/1000)/(((Table1[[#This Row],[Electrode Thickness(µm)]]-Constants!$E$4)*10^-4)*Constants!$C$4)</f>
        <v>-10.884039990877898</v>
      </c>
    </row>
    <row r="109" spans="1:11" x14ac:dyDescent="0.35">
      <c r="A109" s="28">
        <v>11855</v>
      </c>
      <c r="B109" t="s">
        <v>35</v>
      </c>
      <c r="C109" s="13" t="s">
        <v>87</v>
      </c>
      <c r="D109" t="s">
        <v>15</v>
      </c>
      <c r="E109">
        <v>21.1</v>
      </c>
      <c r="G109">
        <v>12.7</v>
      </c>
      <c r="H109">
        <f>Table1[[#This Row],[Total electrode weight (mg)]] - IF(ROW()&lt;40, Constants!$B$2 * PI()*(Table1[[#This Row],[Electrode Diameter(mm)]]/(10*2))^2, Constants!$B$4 * PI()*(Table1[[#This Row],[Electrode Diameter(mm)]]/(10*2))^2)</f>
        <v>17.045073398522277</v>
      </c>
      <c r="I109" s="12">
        <f t="shared" si="1"/>
        <v>15.851918260625718</v>
      </c>
      <c r="J109">
        <f>Table1[[#This Row],[Coating weight (mg)]]/Constants!$C$2</f>
        <v>13.455553037331477</v>
      </c>
      <c r="K109">
        <f>(Table1[[#This Row],[Coating weight (mg)]]/1000)/(((Table1[[#This Row],[Electrode Thickness(µm)]]-Constants!$E$4)*10^-4)*Constants!$C$4)</f>
        <v>-11.212960864442897</v>
      </c>
    </row>
    <row r="110" spans="1:11" x14ac:dyDescent="0.35">
      <c r="A110" s="28">
        <v>11856</v>
      </c>
      <c r="B110" t="s">
        <v>36</v>
      </c>
      <c r="C110" s="13" t="s">
        <v>87</v>
      </c>
      <c r="D110" t="s">
        <v>15</v>
      </c>
      <c r="E110">
        <v>20.399999999999999</v>
      </c>
      <c r="G110">
        <v>12.7</v>
      </c>
      <c r="H110">
        <f>Table1[[#This Row],[Total electrode weight (mg)]] - IF(ROW()&lt;40, Constants!$B$2 * PI()*(Table1[[#This Row],[Electrode Diameter(mm)]]/(10*2))^2, Constants!$B$4 * PI()*(Table1[[#This Row],[Electrode Diameter(mm)]]/(10*2))^2)</f>
        <v>16.345073398522274</v>
      </c>
      <c r="I110" s="12">
        <f t="shared" si="1"/>
        <v>15.200918260625716</v>
      </c>
      <c r="J110">
        <f>Table1[[#This Row],[Coating weight (mg)]]/Constants!$C$2</f>
        <v>12.902965969742278</v>
      </c>
      <c r="K110">
        <f>(Table1[[#This Row],[Coating weight (mg)]]/1000)/(((Table1[[#This Row],[Electrode Thickness(µm)]]-Constants!$E$4)*10^-4)*Constants!$C$4)</f>
        <v>-10.752471641451896</v>
      </c>
    </row>
    <row r="111" spans="1:11" x14ac:dyDescent="0.35">
      <c r="A111" s="28">
        <v>11857</v>
      </c>
      <c r="B111" t="s">
        <v>37</v>
      </c>
      <c r="C111" s="13" t="s">
        <v>87</v>
      </c>
      <c r="D111" t="s">
        <v>15</v>
      </c>
      <c r="E111">
        <v>20.100000000000001</v>
      </c>
      <c r="G111">
        <v>12.7</v>
      </c>
      <c r="H111">
        <f>Table1[[#This Row],[Total electrode weight (mg)]] - IF(ROW()&lt;40, Constants!$B$2 * PI()*(Table1[[#This Row],[Electrode Diameter(mm)]]/(10*2))^2, Constants!$B$4 * PI()*(Table1[[#This Row],[Electrode Diameter(mm)]]/(10*2))^2)</f>
        <v>16.045073398522277</v>
      </c>
      <c r="I111" s="12">
        <f t="shared" si="1"/>
        <v>14.921918260625718</v>
      </c>
      <c r="J111">
        <f>Table1[[#This Row],[Coating weight (mg)]]/Constants!$C$2</f>
        <v>12.666142940775483</v>
      </c>
      <c r="K111">
        <f>(Table1[[#This Row],[Coating weight (mg)]]/1000)/(((Table1[[#This Row],[Electrode Thickness(µm)]]-Constants!$E$4)*10^-4)*Constants!$C$4)</f>
        <v>-10.555119117312902</v>
      </c>
    </row>
    <row r="112" spans="1:11" x14ac:dyDescent="0.35">
      <c r="A112" s="28">
        <v>11858</v>
      </c>
      <c r="B112" t="s">
        <v>75</v>
      </c>
      <c r="C112" s="13" t="s">
        <v>88</v>
      </c>
      <c r="D112" t="s">
        <v>66</v>
      </c>
      <c r="E112">
        <v>15.7</v>
      </c>
      <c r="G112">
        <v>12.7</v>
      </c>
      <c r="H112">
        <f>Table1[[#This Row],[Total electrode weight (mg)]] - IF(ROW()&lt;40, Constants!$B$2 * PI()*(Table1[[#This Row],[Electrode Diameter(mm)]]/(10*2))^2, Constants!$B$4 * PI()*(Table1[[#This Row],[Electrode Diameter(mm)]]/(10*2))^2)</f>
        <v>11.645073398522275</v>
      </c>
      <c r="I112" s="12">
        <f t="shared" si="1"/>
        <v>9.8983123887439337</v>
      </c>
      <c r="J112">
        <f>Table1[[#This Row],[Coating weight (mg)]]/Constants!$C$2</f>
        <v>9.1927385159291077</v>
      </c>
      <c r="K112">
        <f>(Table1[[#This Row],[Coating weight (mg)]]/1000)/(((Table1[[#This Row],[Electrode Thickness(µm)]]-Constants!$E$4)*10^-4)*Constants!$C$4)</f>
        <v>-7.660615429940921</v>
      </c>
    </row>
    <row r="113" spans="1:11" x14ac:dyDescent="0.35">
      <c r="A113" s="28">
        <v>11859</v>
      </c>
      <c r="B113" t="s">
        <v>21</v>
      </c>
      <c r="C113" s="13" t="s">
        <v>88</v>
      </c>
      <c r="D113" t="s">
        <v>66</v>
      </c>
      <c r="E113">
        <v>16.5</v>
      </c>
      <c r="G113">
        <v>12.7</v>
      </c>
      <c r="H113">
        <f>Table1[[#This Row],[Total electrode weight (mg)]] - IF(ROW()&lt;40, Constants!$B$2 * PI()*(Table1[[#This Row],[Electrode Diameter(mm)]]/(10*2))^2, Constants!$B$4 * PI()*(Table1[[#This Row],[Electrode Diameter(mm)]]/(10*2))^2)</f>
        <v>12.445073398522275</v>
      </c>
      <c r="I113" s="12">
        <f t="shared" si="1"/>
        <v>10.578312388743933</v>
      </c>
      <c r="J113">
        <f>Table1[[#This Row],[Coating weight (mg)]]/Constants!$C$2</f>
        <v>9.8242665931739026</v>
      </c>
      <c r="K113">
        <f>(Table1[[#This Row],[Coating weight (mg)]]/1000)/(((Table1[[#This Row],[Electrode Thickness(µm)]]-Constants!$E$4)*10^-4)*Constants!$C$4)</f>
        <v>-8.1868888276449177</v>
      </c>
    </row>
    <row r="114" spans="1:11" x14ac:dyDescent="0.35">
      <c r="A114" s="28">
        <v>11860</v>
      </c>
      <c r="B114" t="s">
        <v>22</v>
      </c>
      <c r="C114" s="13" t="s">
        <v>88</v>
      </c>
      <c r="D114" t="s">
        <v>66</v>
      </c>
      <c r="E114">
        <v>17.399999999999999</v>
      </c>
      <c r="G114">
        <v>12.7</v>
      </c>
      <c r="H114">
        <f>Table1[[#This Row],[Total electrode weight (mg)]] - IF(ROW()&lt;40, Constants!$B$2 * PI()*(Table1[[#This Row],[Electrode Diameter(mm)]]/(10*2))^2, Constants!$B$4 * PI()*(Table1[[#This Row],[Electrode Diameter(mm)]]/(10*2))^2)</f>
        <v>13.345073398522274</v>
      </c>
      <c r="I114" s="12">
        <f t="shared" si="1"/>
        <v>11.343312388743932</v>
      </c>
      <c r="J114">
        <f>Table1[[#This Row],[Coating weight (mg)]]/Constants!$C$2</f>
        <v>10.534735680074297</v>
      </c>
      <c r="K114">
        <f>(Table1[[#This Row],[Coating weight (mg)]]/1000)/(((Table1[[#This Row],[Electrode Thickness(µm)]]-Constants!$E$4)*10^-4)*Constants!$C$4)</f>
        <v>-8.778946400061912</v>
      </c>
    </row>
    <row r="115" spans="1:11" x14ac:dyDescent="0.35">
      <c r="A115" s="28">
        <v>11861</v>
      </c>
      <c r="B115" t="s">
        <v>13</v>
      </c>
      <c r="C115" s="13" t="s">
        <v>88</v>
      </c>
      <c r="D115" t="s">
        <v>66</v>
      </c>
      <c r="E115">
        <v>16.7</v>
      </c>
      <c r="G115">
        <v>12.7</v>
      </c>
      <c r="H115">
        <f>Table1[[#This Row],[Total electrode weight (mg)]] - IF(ROW()&lt;40, Constants!$B$2 * PI()*(Table1[[#This Row],[Electrode Diameter(mm)]]/(10*2))^2, Constants!$B$4 * PI()*(Table1[[#This Row],[Electrode Diameter(mm)]]/(10*2))^2)</f>
        <v>12.645073398522275</v>
      </c>
      <c r="I115" s="12">
        <f t="shared" si="1"/>
        <v>10.748312388743933</v>
      </c>
      <c r="J115">
        <f>Table1[[#This Row],[Coating weight (mg)]]/Constants!$C$2</f>
        <v>9.9821486124851013</v>
      </c>
      <c r="K115">
        <f>(Table1[[#This Row],[Coating weight (mg)]]/1000)/(((Table1[[#This Row],[Electrode Thickness(µm)]]-Constants!$E$4)*10^-4)*Constants!$C$4)</f>
        <v>-8.3184571770709166</v>
      </c>
    </row>
    <row r="116" spans="1:11" x14ac:dyDescent="0.35">
      <c r="A116" s="28">
        <v>11862</v>
      </c>
      <c r="B116" t="s">
        <v>74</v>
      </c>
      <c r="C116" s="13" t="s">
        <v>89</v>
      </c>
      <c r="D116" t="s">
        <v>15</v>
      </c>
      <c r="E116">
        <v>22.2</v>
      </c>
      <c r="G116">
        <v>12.7</v>
      </c>
      <c r="H116">
        <f>Table1[[#This Row],[Total electrode weight (mg)]] - IF(ROW()&lt;40, Constants!$B$2 * PI()*(Table1[[#This Row],[Electrode Diameter(mm)]]/(10*2))^2, Constants!$B$4 * PI()*(Table1[[#This Row],[Electrode Diameter(mm)]]/(10*2))^2)</f>
        <v>18.145073398522275</v>
      </c>
      <c r="I116" s="12">
        <f t="shared" si="1"/>
        <v>16.874918260625716</v>
      </c>
      <c r="J116">
        <f>Table1[[#This Row],[Coating weight (mg)]]/Constants!$C$2</f>
        <v>14.323904143543068</v>
      </c>
      <c r="K116">
        <f>(Table1[[#This Row],[Coating weight (mg)]]/1000)/(((Table1[[#This Row],[Electrode Thickness(µm)]]-Constants!$E$4)*10^-4)*Constants!$C$4)</f>
        <v>-11.93658678628589</v>
      </c>
    </row>
    <row r="117" spans="1:11" x14ac:dyDescent="0.35">
      <c r="A117" s="28">
        <v>11863</v>
      </c>
      <c r="B117" t="s">
        <v>51</v>
      </c>
      <c r="C117" s="13" t="s">
        <v>89</v>
      </c>
      <c r="D117" t="s">
        <v>15</v>
      </c>
      <c r="E117">
        <v>22.3</v>
      </c>
      <c r="G117">
        <v>12.7</v>
      </c>
      <c r="H117">
        <f>Table1[[#This Row],[Total electrode weight (mg)]] - IF(ROW()&lt;40, Constants!$B$2 * PI()*(Table1[[#This Row],[Electrode Diameter(mm)]]/(10*2))^2, Constants!$B$4 * PI()*(Table1[[#This Row],[Electrode Diameter(mm)]]/(10*2))^2)</f>
        <v>18.245073398522276</v>
      </c>
      <c r="I117" s="12">
        <f t="shared" si="1"/>
        <v>16.967918260625719</v>
      </c>
      <c r="J117">
        <f>Table1[[#This Row],[Coating weight (mg)]]/Constants!$C$2</f>
        <v>14.402845153198669</v>
      </c>
      <c r="K117">
        <f>(Table1[[#This Row],[Coating weight (mg)]]/1000)/(((Table1[[#This Row],[Electrode Thickness(µm)]]-Constants!$E$4)*10^-4)*Constants!$C$4)</f>
        <v>-12.002370960998888</v>
      </c>
    </row>
    <row r="118" spans="1:11" x14ac:dyDescent="0.35">
      <c r="A118" s="28">
        <v>11864</v>
      </c>
      <c r="B118" t="s">
        <v>75</v>
      </c>
      <c r="C118" s="13" t="s">
        <v>89</v>
      </c>
      <c r="D118" t="s">
        <v>15</v>
      </c>
      <c r="E118">
        <v>21.6</v>
      </c>
      <c r="G118">
        <v>12.7</v>
      </c>
      <c r="H118">
        <f>Table1[[#This Row],[Total electrode weight (mg)]] - IF(ROW()&lt;40, Constants!$B$2 * PI()*(Table1[[#This Row],[Electrode Diameter(mm)]]/(10*2))^2, Constants!$B$4 * PI()*(Table1[[#This Row],[Electrode Diameter(mm)]]/(10*2))^2)</f>
        <v>17.545073398522277</v>
      </c>
      <c r="I118" s="12">
        <f t="shared" si="1"/>
        <v>16.316918260625719</v>
      </c>
      <c r="J118">
        <f>Table1[[#This Row],[Coating weight (mg)]]/Constants!$C$2</f>
        <v>13.850258085609473</v>
      </c>
      <c r="K118">
        <f>(Table1[[#This Row],[Coating weight (mg)]]/1000)/(((Table1[[#This Row],[Electrode Thickness(µm)]]-Constants!$E$4)*10^-4)*Constants!$C$4)</f>
        <v>-11.541881738007893</v>
      </c>
    </row>
    <row r="119" spans="1:11" x14ac:dyDescent="0.35">
      <c r="A119" s="28">
        <v>11865</v>
      </c>
      <c r="B119" t="s">
        <v>21</v>
      </c>
      <c r="C119" s="13" t="s">
        <v>89</v>
      </c>
      <c r="D119" t="s">
        <v>15</v>
      </c>
      <c r="E119">
        <v>22.9</v>
      </c>
      <c r="G119">
        <v>12.7</v>
      </c>
      <c r="H119">
        <f>Table1[[#This Row],[Total electrode weight (mg)]] - IF(ROW()&lt;40, Constants!$B$2 * PI()*(Table1[[#This Row],[Electrode Diameter(mm)]]/(10*2))^2, Constants!$B$4 * PI()*(Table1[[#This Row],[Electrode Diameter(mm)]]/(10*2))^2)</f>
        <v>18.845073398522274</v>
      </c>
      <c r="I119" s="12">
        <f t="shared" si="1"/>
        <v>17.525918260625716</v>
      </c>
      <c r="J119">
        <f>Table1[[#This Row],[Coating weight (mg)]]/Constants!$C$2</f>
        <v>14.876491211132263</v>
      </c>
      <c r="K119">
        <f>(Table1[[#This Row],[Coating weight (mg)]]/1000)/(((Table1[[#This Row],[Electrode Thickness(µm)]]-Constants!$E$4)*10^-4)*Constants!$C$4)</f>
        <v>-12.397076009276885</v>
      </c>
    </row>
    <row r="120" spans="1:11" x14ac:dyDescent="0.35">
      <c r="A120" s="28">
        <v>11866</v>
      </c>
      <c r="B120" t="s">
        <v>22</v>
      </c>
      <c r="C120" s="13" t="s">
        <v>89</v>
      </c>
      <c r="D120" t="s">
        <v>15</v>
      </c>
      <c r="E120">
        <v>21.1</v>
      </c>
      <c r="G120">
        <v>12.7</v>
      </c>
      <c r="H120">
        <f>Table1[[#This Row],[Total electrode weight (mg)]] - IF(ROW()&lt;40, Constants!$B$2 * PI()*(Table1[[#This Row],[Electrode Diameter(mm)]]/(10*2))^2, Constants!$B$4 * PI()*(Table1[[#This Row],[Electrode Diameter(mm)]]/(10*2))^2)</f>
        <v>17.045073398522277</v>
      </c>
      <c r="I120" s="12">
        <f t="shared" si="1"/>
        <v>15.851918260625718</v>
      </c>
      <c r="J120">
        <f>Table1[[#This Row],[Coating weight (mg)]]/Constants!$C$2</f>
        <v>13.455553037331477</v>
      </c>
      <c r="K120">
        <f>(Table1[[#This Row],[Coating weight (mg)]]/1000)/(((Table1[[#This Row],[Electrode Thickness(µm)]]-Constants!$E$4)*10^-4)*Constants!$C$4)</f>
        <v>-11.212960864442897</v>
      </c>
    </row>
    <row r="121" spans="1:11" x14ac:dyDescent="0.35">
      <c r="A121" s="28">
        <v>11867</v>
      </c>
      <c r="B121" t="s">
        <v>19</v>
      </c>
      <c r="C121" s="13" t="s">
        <v>90</v>
      </c>
      <c r="D121" t="s">
        <v>15</v>
      </c>
      <c r="E121">
        <v>23.6</v>
      </c>
      <c r="G121">
        <v>12.7</v>
      </c>
      <c r="H121">
        <f>Table1[[#This Row],[Total electrode weight (mg)]] - IF(ROW()&lt;40, Constants!$B$2 * PI()*(Table1[[#This Row],[Electrode Diameter(mm)]]/(10*2))^2, Constants!$B$4 * PI()*(Table1[[#This Row],[Electrode Diameter(mm)]]/(10*2))^2)</f>
        <v>19.545073398522277</v>
      </c>
      <c r="I121" s="12">
        <f t="shared" si="1"/>
        <v>18.176918260625719</v>
      </c>
      <c r="J121">
        <f>Table1[[#This Row],[Coating weight (mg)]]/Constants!$C$2</f>
        <v>15.429078278721462</v>
      </c>
      <c r="K121">
        <f>(Table1[[#This Row],[Coating weight (mg)]]/1000)/(((Table1[[#This Row],[Electrode Thickness(µm)]]-Constants!$E$4)*10^-4)*Constants!$C$4)</f>
        <v>-12.857565232267884</v>
      </c>
    </row>
    <row r="122" spans="1:11" x14ac:dyDescent="0.35">
      <c r="A122" s="28">
        <v>11868</v>
      </c>
      <c r="B122" t="s">
        <v>74</v>
      </c>
      <c r="C122" s="13" t="s">
        <v>90</v>
      </c>
      <c r="D122" t="s">
        <v>15</v>
      </c>
      <c r="E122">
        <v>21.6</v>
      </c>
      <c r="G122">
        <v>12.7</v>
      </c>
      <c r="H122">
        <f>Table1[[#This Row],[Total electrode weight (mg)]] - IF(ROW()&lt;40, Constants!$B$2 * PI()*(Table1[[#This Row],[Electrode Diameter(mm)]]/(10*2))^2, Constants!$B$4 * PI()*(Table1[[#This Row],[Electrode Diameter(mm)]]/(10*2))^2)</f>
        <v>17.545073398522277</v>
      </c>
      <c r="I122" s="12">
        <f t="shared" si="1"/>
        <v>16.316918260625719</v>
      </c>
      <c r="J122">
        <f>Table1[[#This Row],[Coating weight (mg)]]/Constants!$C$2</f>
        <v>13.850258085609473</v>
      </c>
      <c r="K122">
        <f>(Table1[[#This Row],[Coating weight (mg)]]/1000)/(((Table1[[#This Row],[Electrode Thickness(µm)]]-Constants!$E$4)*10^-4)*Constants!$C$4)</f>
        <v>-11.541881738007893</v>
      </c>
    </row>
    <row r="123" spans="1:11" x14ac:dyDescent="0.35">
      <c r="A123" s="28">
        <v>11869</v>
      </c>
      <c r="B123" t="s">
        <v>13</v>
      </c>
      <c r="C123" s="13" t="s">
        <v>90</v>
      </c>
      <c r="D123" t="s">
        <v>15</v>
      </c>
      <c r="E123">
        <v>22.7</v>
      </c>
      <c r="G123">
        <v>12.7</v>
      </c>
      <c r="H123">
        <f>Table1[[#This Row],[Total electrode weight (mg)]] - IF(ROW()&lt;40, Constants!$B$2 * PI()*(Table1[[#This Row],[Electrode Diameter(mm)]]/(10*2))^2, Constants!$B$4 * PI()*(Table1[[#This Row],[Electrode Diameter(mm)]]/(10*2))^2)</f>
        <v>18.645073398522275</v>
      </c>
      <c r="I123" s="12">
        <f t="shared" si="1"/>
        <v>17.339918260625716</v>
      </c>
      <c r="J123">
        <f>Table1[[#This Row],[Coating weight (mg)]]/Constants!$C$2</f>
        <v>14.718609191821065</v>
      </c>
      <c r="K123">
        <f>(Table1[[#This Row],[Coating weight (mg)]]/1000)/(((Table1[[#This Row],[Electrode Thickness(µm)]]-Constants!$E$4)*10^-4)*Constants!$C$4)</f>
        <v>-12.265507659850886</v>
      </c>
    </row>
    <row r="124" spans="1:11" x14ac:dyDescent="0.35">
      <c r="A124" s="28">
        <v>11870</v>
      </c>
      <c r="B124" t="s">
        <v>32</v>
      </c>
      <c r="C124" s="13" t="s">
        <v>90</v>
      </c>
      <c r="D124" t="s">
        <v>15</v>
      </c>
      <c r="E124">
        <v>22.8</v>
      </c>
      <c r="G124">
        <v>12.7</v>
      </c>
      <c r="H124">
        <f>Table1[[#This Row],[Total electrode weight (mg)]] - IF(ROW()&lt;40, Constants!$B$2 * PI()*(Table1[[#This Row],[Electrode Diameter(mm)]]/(10*2))^2, Constants!$B$4 * PI()*(Table1[[#This Row],[Electrode Diameter(mm)]]/(10*2))^2)</f>
        <v>18.745073398522276</v>
      </c>
      <c r="I124" s="12">
        <f t="shared" si="1"/>
        <v>17.432918260625719</v>
      </c>
      <c r="J124">
        <f>Table1[[#This Row],[Coating weight (mg)]]/Constants!$C$2</f>
        <v>14.797550201476666</v>
      </c>
      <c r="K124">
        <f>(Table1[[#This Row],[Coating weight (mg)]]/1000)/(((Table1[[#This Row],[Electrode Thickness(µm)]]-Constants!$E$4)*10^-4)*Constants!$C$4)</f>
        <v>-12.331291834563887</v>
      </c>
    </row>
    <row r="125" spans="1:11" x14ac:dyDescent="0.35">
      <c r="A125" s="28">
        <v>11871</v>
      </c>
      <c r="B125" t="s">
        <v>34</v>
      </c>
      <c r="C125" s="13" t="s">
        <v>90</v>
      </c>
      <c r="D125" t="s">
        <v>15</v>
      </c>
      <c r="E125">
        <v>20.6</v>
      </c>
      <c r="G125">
        <v>12.7</v>
      </c>
      <c r="H125">
        <f>Table1[[#This Row],[Total electrode weight (mg)]] - IF(ROW()&lt;40, Constants!$B$2 * PI()*(Table1[[#This Row],[Electrode Diameter(mm)]]/(10*2))^2, Constants!$B$4 * PI()*(Table1[[#This Row],[Electrode Diameter(mm)]]/(10*2))^2)</f>
        <v>16.545073398522277</v>
      </c>
      <c r="I125" s="12">
        <f t="shared" si="1"/>
        <v>15.386918260625718</v>
      </c>
      <c r="J125">
        <f>Table1[[#This Row],[Coating weight (mg)]]/Constants!$C$2</f>
        <v>13.06084798905348</v>
      </c>
      <c r="K125">
        <f>(Table1[[#This Row],[Coating weight (mg)]]/1000)/(((Table1[[#This Row],[Electrode Thickness(µm)]]-Constants!$E$4)*10^-4)*Constants!$C$4)</f>
        <v>-10.884039990877898</v>
      </c>
    </row>
    <row r="126" spans="1:11" x14ac:dyDescent="0.35">
      <c r="A126" s="28">
        <v>11872</v>
      </c>
      <c r="B126" t="s">
        <v>91</v>
      </c>
      <c r="C126" s="13" t="s">
        <v>92</v>
      </c>
      <c r="D126" t="s">
        <v>15</v>
      </c>
      <c r="E126">
        <v>19.399999999999999</v>
      </c>
      <c r="G126">
        <v>12.7</v>
      </c>
      <c r="H126">
        <f>Table1[[#This Row],[Total electrode weight (mg)]] - IF(ROW()&lt;40, Constants!$B$2 * PI()*(Table1[[#This Row],[Electrode Diameter(mm)]]/(10*2))^2, Constants!$B$4 * PI()*(Table1[[#This Row],[Electrode Diameter(mm)]]/(10*2))^2)</f>
        <v>15.345073398522274</v>
      </c>
      <c r="I126" s="12">
        <f t="shared" si="1"/>
        <v>14.270918260625715</v>
      </c>
      <c r="J126">
        <f>Table1[[#This Row],[Coating weight (mg)]]/Constants!$C$2</f>
        <v>12.113555873186284</v>
      </c>
      <c r="K126">
        <f>(Table1[[#This Row],[Coating weight (mg)]]/1000)/(((Table1[[#This Row],[Electrode Thickness(µm)]]-Constants!$E$4)*10^-4)*Constants!$C$4)</f>
        <v>-10.094629894321901</v>
      </c>
    </row>
    <row r="127" spans="1:11" x14ac:dyDescent="0.35">
      <c r="A127" s="28">
        <v>11873</v>
      </c>
      <c r="B127" t="s">
        <v>93</v>
      </c>
      <c r="C127" s="13" t="s">
        <v>92</v>
      </c>
      <c r="D127" t="s">
        <v>15</v>
      </c>
      <c r="E127">
        <v>19.8</v>
      </c>
      <c r="G127">
        <v>12.7</v>
      </c>
      <c r="H127">
        <f>Table1[[#This Row],[Total electrode weight (mg)]] - IF(ROW()&lt;40, Constants!$B$2 * PI()*(Table1[[#This Row],[Electrode Diameter(mm)]]/(10*2))^2, Constants!$B$4 * PI()*(Table1[[#This Row],[Electrode Diameter(mm)]]/(10*2))^2)</f>
        <v>15.745073398522276</v>
      </c>
      <c r="I127" s="12">
        <f t="shared" si="1"/>
        <v>14.642918260625718</v>
      </c>
      <c r="J127">
        <f>Table1[[#This Row],[Coating weight (mg)]]/Constants!$C$2</f>
        <v>12.429319911808683</v>
      </c>
      <c r="K127">
        <f>(Table1[[#This Row],[Coating weight (mg)]]/1000)/(((Table1[[#This Row],[Electrode Thickness(µm)]]-Constants!$E$4)*10^-4)*Constants!$C$4)</f>
        <v>-10.357766593173901</v>
      </c>
    </row>
    <row r="128" spans="1:11" x14ac:dyDescent="0.35">
      <c r="A128" s="28">
        <v>11874</v>
      </c>
      <c r="B128" t="s">
        <v>51</v>
      </c>
      <c r="C128" s="13" t="s">
        <v>92</v>
      </c>
      <c r="D128" t="s">
        <v>15</v>
      </c>
      <c r="E128">
        <v>20.2</v>
      </c>
      <c r="G128">
        <v>12.7</v>
      </c>
      <c r="H128">
        <f>Table1[[#This Row],[Total electrode weight (mg)]] - IF(ROW()&lt;40, Constants!$B$2 * PI()*(Table1[[#This Row],[Electrode Diameter(mm)]]/(10*2))^2, Constants!$B$4 * PI()*(Table1[[#This Row],[Electrode Diameter(mm)]]/(10*2))^2)</f>
        <v>16.145073398522275</v>
      </c>
      <c r="I128" s="12">
        <f t="shared" si="1"/>
        <v>15.014918260625716</v>
      </c>
      <c r="J128">
        <f>Table1[[#This Row],[Coating weight (mg)]]/Constants!$C$2</f>
        <v>12.745083950431081</v>
      </c>
      <c r="K128">
        <f>(Table1[[#This Row],[Coating weight (mg)]]/1000)/(((Table1[[#This Row],[Electrode Thickness(µm)]]-Constants!$E$4)*10^-4)*Constants!$C$4)</f>
        <v>-10.620903292025899</v>
      </c>
    </row>
    <row r="129" spans="1:11" x14ac:dyDescent="0.35">
      <c r="A129" s="28">
        <v>11875</v>
      </c>
      <c r="B129" t="s">
        <v>75</v>
      </c>
      <c r="C129" s="13" t="s">
        <v>92</v>
      </c>
      <c r="D129" t="s">
        <v>15</v>
      </c>
      <c r="E129">
        <v>21</v>
      </c>
      <c r="G129">
        <v>12.7</v>
      </c>
      <c r="H129">
        <f>Table1[[#This Row],[Total electrode weight (mg)]] - IF(ROW()&lt;40, Constants!$B$2 * PI()*(Table1[[#This Row],[Electrode Diameter(mm)]]/(10*2))^2, Constants!$B$4 * PI()*(Table1[[#This Row],[Electrode Diameter(mm)]]/(10*2))^2)</f>
        <v>16.945073398522275</v>
      </c>
      <c r="I129" s="12">
        <f t="shared" si="1"/>
        <v>15.758918260625718</v>
      </c>
      <c r="J129">
        <f>Table1[[#This Row],[Coating weight (mg)]]/Constants!$C$2</f>
        <v>13.376612027675876</v>
      </c>
      <c r="K129">
        <f>(Table1[[#This Row],[Coating weight (mg)]]/1000)/(((Table1[[#This Row],[Electrode Thickness(µm)]]-Constants!$E$4)*10^-4)*Constants!$C$4)</f>
        <v>-11.147176689729895</v>
      </c>
    </row>
    <row r="130" spans="1:11" x14ac:dyDescent="0.35">
      <c r="A130" s="28">
        <v>11876</v>
      </c>
      <c r="B130" t="s">
        <v>21</v>
      </c>
      <c r="C130" s="13" t="s">
        <v>92</v>
      </c>
      <c r="D130" t="s">
        <v>15</v>
      </c>
      <c r="E130">
        <v>21.1</v>
      </c>
      <c r="G130">
        <v>12.7</v>
      </c>
      <c r="H130">
        <f>Table1[[#This Row],[Total electrode weight (mg)]] - IF(ROW()&lt;40, Constants!$B$2 * PI()*(Table1[[#This Row],[Electrode Diameter(mm)]]/(10*2))^2, Constants!$B$4 * PI()*(Table1[[#This Row],[Electrode Diameter(mm)]]/(10*2))^2)</f>
        <v>17.045073398522277</v>
      </c>
      <c r="I130" s="12">
        <f t="shared" si="1"/>
        <v>15.851918260625718</v>
      </c>
      <c r="J130">
        <f>Table1[[#This Row],[Coating weight (mg)]]/Constants!$C$2</f>
        <v>13.455553037331477</v>
      </c>
      <c r="K130">
        <f>(Table1[[#This Row],[Coating weight (mg)]]/1000)/(((Table1[[#This Row],[Electrode Thickness(µm)]]-Constants!$E$4)*10^-4)*Constants!$C$4)</f>
        <v>-11.212960864442897</v>
      </c>
    </row>
    <row r="131" spans="1:11" x14ac:dyDescent="0.35">
      <c r="A131" s="28">
        <v>11877</v>
      </c>
      <c r="B131" t="s">
        <v>22</v>
      </c>
      <c r="C131" s="13" t="s">
        <v>94</v>
      </c>
      <c r="D131" t="s">
        <v>15</v>
      </c>
      <c r="E131">
        <v>25.1</v>
      </c>
      <c r="G131">
        <v>12.7</v>
      </c>
      <c r="H131">
        <f>Table1[[#This Row],[Total electrode weight (mg)]] - IF(ROW()&lt;40, Constants!$B$2 * PI()*(Table1[[#This Row],[Electrode Diameter(mm)]]/(10*2))^2, Constants!$B$4 * PI()*(Table1[[#This Row],[Electrode Diameter(mm)]]/(10*2))^2)</f>
        <v>21.045073398522277</v>
      </c>
      <c r="I131" s="12">
        <f t="shared" ref="I131:I194" si="2">IF(D131="", "", IF(D131="RnD", H131*0.85, IF(D131="Production", H131*0.93, "Invalid")))</f>
        <v>19.571918260625718</v>
      </c>
      <c r="J131">
        <f>Table1[[#This Row],[Coating weight (mg)]]/Constants!$C$2</f>
        <v>16.613193423555455</v>
      </c>
      <c r="K131">
        <f>(Table1[[#This Row],[Coating weight (mg)]]/1000)/(((Table1[[#This Row],[Electrode Thickness(µm)]]-Constants!$E$4)*10^-4)*Constants!$C$4)</f>
        <v>-13.844327852962873</v>
      </c>
    </row>
    <row r="132" spans="1:11" x14ac:dyDescent="0.35">
      <c r="A132" s="28">
        <v>11878</v>
      </c>
      <c r="B132" t="s">
        <v>42</v>
      </c>
      <c r="C132" s="13" t="s">
        <v>90</v>
      </c>
      <c r="D132" t="s">
        <v>15</v>
      </c>
      <c r="E132">
        <v>22.8</v>
      </c>
      <c r="G132">
        <v>12.7</v>
      </c>
      <c r="H132">
        <f>Table1[[#This Row],[Total electrode weight (mg)]] - IF(ROW()&lt;40, Constants!$B$2 * PI()*(Table1[[#This Row],[Electrode Diameter(mm)]]/(10*2))^2, Constants!$B$4 * PI()*(Table1[[#This Row],[Electrode Diameter(mm)]]/(10*2))^2)</f>
        <v>18.745073398522276</v>
      </c>
      <c r="I132" s="12">
        <f t="shared" si="2"/>
        <v>17.432918260625719</v>
      </c>
      <c r="J132">
        <f>Table1[[#This Row],[Coating weight (mg)]]/Constants!$C$2</f>
        <v>14.797550201476666</v>
      </c>
      <c r="K132">
        <f>(Table1[[#This Row],[Coating weight (mg)]]/1000)/(((Table1[[#This Row],[Electrode Thickness(µm)]]-Constants!$E$4)*10^-4)*Constants!$C$4)</f>
        <v>-12.331291834563887</v>
      </c>
    </row>
    <row r="133" spans="1:11" x14ac:dyDescent="0.35">
      <c r="A133" s="28">
        <v>11879</v>
      </c>
      <c r="B133" t="s">
        <v>16</v>
      </c>
      <c r="C133" s="13" t="s">
        <v>90</v>
      </c>
      <c r="D133" t="s">
        <v>15</v>
      </c>
      <c r="E133">
        <v>21.1</v>
      </c>
      <c r="G133">
        <v>12.7</v>
      </c>
      <c r="H133">
        <f>Table1[[#This Row],[Total electrode weight (mg)]] - IF(ROW()&lt;40, Constants!$B$2 * PI()*(Table1[[#This Row],[Electrode Diameter(mm)]]/(10*2))^2, Constants!$B$4 * PI()*(Table1[[#This Row],[Electrode Diameter(mm)]]/(10*2))^2)</f>
        <v>17.045073398522277</v>
      </c>
      <c r="I133" s="12">
        <f t="shared" si="2"/>
        <v>15.851918260625718</v>
      </c>
      <c r="J133">
        <f>Table1[[#This Row],[Coating weight (mg)]]/Constants!$C$2</f>
        <v>13.455553037331477</v>
      </c>
      <c r="K133">
        <f>(Table1[[#This Row],[Coating weight (mg)]]/1000)/(((Table1[[#This Row],[Electrode Thickness(µm)]]-Constants!$E$4)*10^-4)*Constants!$C$4)</f>
        <v>-11.212960864442897</v>
      </c>
    </row>
    <row r="134" spans="1:11" x14ac:dyDescent="0.35">
      <c r="A134" s="28">
        <v>11880</v>
      </c>
      <c r="B134" t="s">
        <v>44</v>
      </c>
      <c r="C134" s="13" t="s">
        <v>90</v>
      </c>
      <c r="D134" t="s">
        <v>15</v>
      </c>
      <c r="E134">
        <v>21.3</v>
      </c>
      <c r="G134">
        <v>12.7</v>
      </c>
      <c r="H134">
        <f>Table1[[#This Row],[Total electrode weight (mg)]] - IF(ROW()&lt;40, Constants!$B$2 * PI()*(Table1[[#This Row],[Electrode Diameter(mm)]]/(10*2))^2, Constants!$B$4 * PI()*(Table1[[#This Row],[Electrode Diameter(mm)]]/(10*2))^2)</f>
        <v>17.245073398522276</v>
      </c>
      <c r="I134" s="12">
        <f t="shared" si="2"/>
        <v>16.037918260625716</v>
      </c>
      <c r="J134">
        <f>Table1[[#This Row],[Coating weight (mg)]]/Constants!$C$2</f>
        <v>13.613435056642675</v>
      </c>
      <c r="K134">
        <f>(Table1[[#This Row],[Coating weight (mg)]]/1000)/(((Table1[[#This Row],[Electrode Thickness(µm)]]-Constants!$E$4)*10^-4)*Constants!$C$4)</f>
        <v>-11.344529213868896</v>
      </c>
    </row>
    <row r="135" spans="1:11" x14ac:dyDescent="0.35">
      <c r="A135" s="28">
        <v>11893</v>
      </c>
      <c r="B135" t="s">
        <v>74</v>
      </c>
      <c r="C135" s="13" t="s">
        <v>90</v>
      </c>
      <c r="D135" t="s">
        <v>15</v>
      </c>
      <c r="E135">
        <v>22.1</v>
      </c>
      <c r="G135">
        <v>12.7</v>
      </c>
      <c r="H135">
        <f>Table1[[#This Row],[Total electrode weight (mg)]] - IF(ROW()&lt;40, Constants!$B$2 * PI()*(Table1[[#This Row],[Electrode Diameter(mm)]]/(10*2))^2, Constants!$B$4 * PI()*(Table1[[#This Row],[Electrode Diameter(mm)]]/(10*2))^2)</f>
        <v>18.045073398522277</v>
      </c>
      <c r="I135" s="12">
        <f t="shared" si="2"/>
        <v>16.781918260625719</v>
      </c>
      <c r="J135">
        <f>Table1[[#This Row],[Coating weight (mg)]]/Constants!$C$2</f>
        <v>14.24496313388747</v>
      </c>
      <c r="K135">
        <f>(Table1[[#This Row],[Coating weight (mg)]]/1000)/(((Table1[[#This Row],[Electrode Thickness(µm)]]-Constants!$E$4)*10^-4)*Constants!$C$4)</f>
        <v>-11.87080261157289</v>
      </c>
    </row>
    <row r="136" spans="1:11" x14ac:dyDescent="0.35">
      <c r="A136" s="28">
        <v>11894</v>
      </c>
      <c r="B136" t="s">
        <v>22</v>
      </c>
      <c r="C136" s="13" t="s">
        <v>90</v>
      </c>
      <c r="D136" t="s">
        <v>15</v>
      </c>
      <c r="E136">
        <v>21.3</v>
      </c>
      <c r="G136">
        <v>12.7</v>
      </c>
      <c r="H136">
        <f>Table1[[#This Row],[Total electrode weight (mg)]] - IF(ROW()&lt;40, Constants!$B$2 * PI()*(Table1[[#This Row],[Electrode Diameter(mm)]]/(10*2))^2, Constants!$B$4 * PI()*(Table1[[#This Row],[Electrode Diameter(mm)]]/(10*2))^2)</f>
        <v>17.245073398522276</v>
      </c>
      <c r="I136" s="12">
        <f t="shared" si="2"/>
        <v>16.037918260625716</v>
      </c>
      <c r="J136">
        <f>Table1[[#This Row],[Coating weight (mg)]]/Constants!$C$2</f>
        <v>13.613435056642675</v>
      </c>
      <c r="K136">
        <f>(Table1[[#This Row],[Coating weight (mg)]]/1000)/(((Table1[[#This Row],[Electrode Thickness(µm)]]-Constants!$E$4)*10^-4)*Constants!$C$4)</f>
        <v>-11.344529213868896</v>
      </c>
    </row>
    <row r="137" spans="1:11" x14ac:dyDescent="0.35">
      <c r="A137" s="28">
        <v>11895</v>
      </c>
      <c r="B137" t="s">
        <v>13</v>
      </c>
      <c r="C137" s="13" t="s">
        <v>90</v>
      </c>
      <c r="D137" t="s">
        <v>15</v>
      </c>
      <c r="E137">
        <v>21.9</v>
      </c>
      <c r="G137">
        <v>12.7</v>
      </c>
      <c r="H137">
        <f>Table1[[#This Row],[Total electrode weight (mg)]] - IF(ROW()&lt;40, Constants!$B$2 * PI()*(Table1[[#This Row],[Electrode Diameter(mm)]]/(10*2))^2, Constants!$B$4 * PI()*(Table1[[#This Row],[Electrode Diameter(mm)]]/(10*2))^2)</f>
        <v>17.845073398522274</v>
      </c>
      <c r="I137" s="12">
        <f t="shared" si="2"/>
        <v>16.595918260625716</v>
      </c>
      <c r="J137">
        <f>Table1[[#This Row],[Coating weight (mg)]]/Constants!$C$2</f>
        <v>14.08708111457627</v>
      </c>
      <c r="K137">
        <f>(Table1[[#This Row],[Coating weight (mg)]]/1000)/(((Table1[[#This Row],[Electrode Thickness(µm)]]-Constants!$E$4)*10^-4)*Constants!$C$4)</f>
        <v>-11.739234262146889</v>
      </c>
    </row>
    <row r="138" spans="1:11" x14ac:dyDescent="0.35">
      <c r="A138" s="28">
        <v>11896</v>
      </c>
      <c r="B138" t="s">
        <v>45</v>
      </c>
      <c r="C138" s="13" t="s">
        <v>90</v>
      </c>
      <c r="D138" t="s">
        <v>15</v>
      </c>
      <c r="E138">
        <v>22.4</v>
      </c>
      <c r="G138">
        <v>12.7</v>
      </c>
      <c r="H138">
        <f>Table1[[#This Row],[Total electrode weight (mg)]] - IF(ROW()&lt;40, Constants!$B$2 * PI()*(Table1[[#This Row],[Electrode Diameter(mm)]]/(10*2))^2, Constants!$B$4 * PI()*(Table1[[#This Row],[Electrode Diameter(mm)]]/(10*2))^2)</f>
        <v>18.345073398522274</v>
      </c>
      <c r="I138" s="12">
        <f t="shared" si="2"/>
        <v>17.060918260625716</v>
      </c>
      <c r="J138">
        <f>Table1[[#This Row],[Coating weight (mg)]]/Constants!$C$2</f>
        <v>14.481786162854267</v>
      </c>
      <c r="K138">
        <f>(Table1[[#This Row],[Coating weight (mg)]]/1000)/(((Table1[[#This Row],[Electrode Thickness(µm)]]-Constants!$E$4)*10^-4)*Constants!$C$4)</f>
        <v>-12.068155135711887</v>
      </c>
    </row>
    <row r="139" spans="1:11" x14ac:dyDescent="0.35">
      <c r="A139" s="28">
        <v>11897</v>
      </c>
      <c r="B139" t="s">
        <v>47</v>
      </c>
      <c r="C139" s="13" t="s">
        <v>90</v>
      </c>
      <c r="D139" t="s">
        <v>15</v>
      </c>
      <c r="E139">
        <v>19.899999999999999</v>
      </c>
      <c r="G139">
        <v>12.7</v>
      </c>
      <c r="H139">
        <f>Table1[[#This Row],[Total electrode weight (mg)]] - IF(ROW()&lt;40, Constants!$B$2 * PI()*(Table1[[#This Row],[Electrode Diameter(mm)]]/(10*2))^2, Constants!$B$4 * PI()*(Table1[[#This Row],[Electrode Diameter(mm)]]/(10*2))^2)</f>
        <v>15.845073398522274</v>
      </c>
      <c r="I139" s="12">
        <f t="shared" si="2"/>
        <v>14.735918260625716</v>
      </c>
      <c r="J139">
        <f>Table1[[#This Row],[Coating weight (mg)]]/Constants!$C$2</f>
        <v>12.508260921464281</v>
      </c>
      <c r="K139">
        <f>(Table1[[#This Row],[Coating weight (mg)]]/1000)/(((Table1[[#This Row],[Electrode Thickness(µm)]]-Constants!$E$4)*10^-4)*Constants!$C$4)</f>
        <v>-10.423550767886901</v>
      </c>
    </row>
    <row r="140" spans="1:11" x14ac:dyDescent="0.35">
      <c r="A140" s="28">
        <v>11898</v>
      </c>
      <c r="B140" t="s">
        <v>46</v>
      </c>
      <c r="C140" s="13" t="s">
        <v>90</v>
      </c>
      <c r="D140" t="s">
        <v>15</v>
      </c>
      <c r="E140">
        <v>19.600000000000001</v>
      </c>
      <c r="G140">
        <v>12.7</v>
      </c>
      <c r="H140">
        <f>Table1[[#This Row],[Total electrode weight (mg)]] - IF(ROW()&lt;40, Constants!$B$2 * PI()*(Table1[[#This Row],[Electrode Diameter(mm)]]/(10*2))^2, Constants!$B$4 * PI()*(Table1[[#This Row],[Electrode Diameter(mm)]]/(10*2))^2)</f>
        <v>15.545073398522277</v>
      </c>
      <c r="I140" s="12">
        <f t="shared" si="2"/>
        <v>14.456918260625718</v>
      </c>
      <c r="J140">
        <f>Table1[[#This Row],[Coating weight (mg)]]/Constants!$C$2</f>
        <v>12.271437892497486</v>
      </c>
      <c r="K140">
        <f>(Table1[[#This Row],[Coating weight (mg)]]/1000)/(((Table1[[#This Row],[Electrode Thickness(µm)]]-Constants!$E$4)*10^-4)*Constants!$C$4)</f>
        <v>-10.226198243747904</v>
      </c>
    </row>
    <row r="141" spans="1:11" x14ac:dyDescent="0.35">
      <c r="A141" s="28">
        <v>11899</v>
      </c>
      <c r="B141" t="s">
        <v>52</v>
      </c>
      <c r="C141" s="13" t="s">
        <v>90</v>
      </c>
      <c r="D141" t="s">
        <v>15</v>
      </c>
      <c r="E141">
        <v>19.600000000000001</v>
      </c>
      <c r="G141">
        <v>12.7</v>
      </c>
      <c r="H141">
        <f>Table1[[#This Row],[Total electrode weight (mg)]] - IF(ROW()&lt;40, Constants!$B$2 * PI()*(Table1[[#This Row],[Electrode Diameter(mm)]]/(10*2))^2, Constants!$B$4 * PI()*(Table1[[#This Row],[Electrode Diameter(mm)]]/(10*2))^2)</f>
        <v>15.545073398522277</v>
      </c>
      <c r="I141" s="12">
        <f t="shared" si="2"/>
        <v>14.456918260625718</v>
      </c>
      <c r="J141">
        <f>Table1[[#This Row],[Coating weight (mg)]]/Constants!$C$2</f>
        <v>12.271437892497486</v>
      </c>
      <c r="K141">
        <f>(Table1[[#This Row],[Coating weight (mg)]]/1000)/(((Table1[[#This Row],[Electrode Thickness(µm)]]-Constants!$E$4)*10^-4)*Constants!$C$4)</f>
        <v>-10.226198243747904</v>
      </c>
    </row>
    <row r="142" spans="1:11" x14ac:dyDescent="0.35">
      <c r="A142" s="28">
        <v>11900</v>
      </c>
      <c r="B142" t="s">
        <v>42</v>
      </c>
      <c r="C142" s="13" t="s">
        <v>95</v>
      </c>
      <c r="D142" t="s">
        <v>66</v>
      </c>
      <c r="E142">
        <v>22.2</v>
      </c>
      <c r="G142">
        <v>12.7</v>
      </c>
      <c r="H142">
        <f>Table1[[#This Row],[Total electrode weight (mg)]] - IF(ROW()&lt;40, Constants!$B$2 * PI()*(Table1[[#This Row],[Electrode Diameter(mm)]]/(10*2))^2, Constants!$B$4 * PI()*(Table1[[#This Row],[Electrode Diameter(mm)]]/(10*2))^2)</f>
        <v>18.145073398522275</v>
      </c>
      <c r="I142" s="12">
        <f t="shared" si="2"/>
        <v>15.423312388743932</v>
      </c>
      <c r="J142">
        <f>Table1[[#This Row],[Coating weight (mg)]]/Constants!$C$2</f>
        <v>14.323904143543068</v>
      </c>
      <c r="K142">
        <f>(Table1[[#This Row],[Coating weight (mg)]]/1000)/(((Table1[[#This Row],[Electrode Thickness(µm)]]-Constants!$E$4)*10^-4)*Constants!$C$4)</f>
        <v>-11.93658678628589</v>
      </c>
    </row>
    <row r="143" spans="1:11" x14ac:dyDescent="0.35">
      <c r="A143" s="28">
        <v>11901</v>
      </c>
      <c r="B143" t="s">
        <v>16</v>
      </c>
      <c r="C143" s="13" t="s">
        <v>95</v>
      </c>
      <c r="D143" t="s">
        <v>66</v>
      </c>
      <c r="E143">
        <v>17.600000000000001</v>
      </c>
      <c r="G143">
        <v>12.7</v>
      </c>
      <c r="H143">
        <f>Table1[[#This Row],[Total electrode weight (mg)]] - IF(ROW()&lt;40, Constants!$B$2 * PI()*(Table1[[#This Row],[Electrode Diameter(mm)]]/(10*2))^2, Constants!$B$4 * PI()*(Table1[[#This Row],[Electrode Diameter(mm)]]/(10*2))^2)</f>
        <v>13.545073398522277</v>
      </c>
      <c r="I143" s="12">
        <f t="shared" si="2"/>
        <v>11.513312388743936</v>
      </c>
      <c r="J143">
        <f>Table1[[#This Row],[Coating weight (mg)]]/Constants!$C$2</f>
        <v>10.692617699385497</v>
      </c>
      <c r="K143">
        <f>(Table1[[#This Row],[Coating weight (mg)]]/1000)/(((Table1[[#This Row],[Electrode Thickness(µm)]]-Constants!$E$4)*10^-4)*Constants!$C$4)</f>
        <v>-8.9105147494879127</v>
      </c>
    </row>
    <row r="144" spans="1:11" x14ac:dyDescent="0.35">
      <c r="A144" s="28">
        <v>11902</v>
      </c>
      <c r="B144" t="s">
        <v>44</v>
      </c>
      <c r="C144" s="13" t="s">
        <v>95</v>
      </c>
      <c r="D144" t="s">
        <v>66</v>
      </c>
      <c r="E144">
        <v>18.8</v>
      </c>
      <c r="G144">
        <v>12.7</v>
      </c>
      <c r="H144">
        <f>Table1[[#This Row],[Total electrode weight (mg)]] - IF(ROW()&lt;40, Constants!$B$2 * PI()*(Table1[[#This Row],[Electrode Diameter(mm)]]/(10*2))^2, Constants!$B$4 * PI()*(Table1[[#This Row],[Electrode Diameter(mm)]]/(10*2))^2)</f>
        <v>14.745073398522276</v>
      </c>
      <c r="I144" s="12">
        <f t="shared" si="2"/>
        <v>12.533312388743935</v>
      </c>
      <c r="J144">
        <f>Table1[[#This Row],[Coating weight (mg)]]/Constants!$C$2</f>
        <v>11.63990981525269</v>
      </c>
      <c r="K144">
        <f>(Table1[[#This Row],[Coating weight (mg)]]/1000)/(((Table1[[#This Row],[Electrode Thickness(µm)]]-Constants!$E$4)*10^-4)*Constants!$C$4)</f>
        <v>-9.699924846043908</v>
      </c>
    </row>
    <row r="145" spans="1:11" x14ac:dyDescent="0.35">
      <c r="A145" s="28">
        <v>11903</v>
      </c>
      <c r="B145" t="s">
        <v>32</v>
      </c>
      <c r="C145" s="13" t="s">
        <v>95</v>
      </c>
      <c r="D145" t="s">
        <v>66</v>
      </c>
      <c r="E145">
        <v>17.2</v>
      </c>
      <c r="G145">
        <v>12.7</v>
      </c>
      <c r="H145">
        <f>Table1[[#This Row],[Total electrode weight (mg)]] - IF(ROW()&lt;40, Constants!$B$2 * PI()*(Table1[[#This Row],[Electrode Diameter(mm)]]/(10*2))^2, Constants!$B$4 * PI()*(Table1[[#This Row],[Electrode Diameter(mm)]]/(10*2))^2)</f>
        <v>13.145073398522275</v>
      </c>
      <c r="I145" s="12">
        <f t="shared" si="2"/>
        <v>11.173312388743934</v>
      </c>
      <c r="J145">
        <f>Table1[[#This Row],[Coating weight (mg)]]/Constants!$C$2</f>
        <v>10.376853660763098</v>
      </c>
      <c r="K145">
        <f>(Table1[[#This Row],[Coating weight (mg)]]/1000)/(((Table1[[#This Row],[Electrode Thickness(µm)]]-Constants!$E$4)*10^-4)*Constants!$C$4)</f>
        <v>-8.647378050635913</v>
      </c>
    </row>
    <row r="146" spans="1:11" x14ac:dyDescent="0.35">
      <c r="A146" s="28">
        <v>11904</v>
      </c>
      <c r="B146" t="s">
        <v>34</v>
      </c>
      <c r="C146" s="13" t="s">
        <v>95</v>
      </c>
      <c r="D146" t="s">
        <v>66</v>
      </c>
      <c r="E146">
        <v>16.600000000000001</v>
      </c>
      <c r="G146">
        <v>12.7</v>
      </c>
      <c r="H146">
        <f>Table1[[#This Row],[Total electrode weight (mg)]] - IF(ROW()&lt;40, Constants!$B$2 * PI()*(Table1[[#This Row],[Electrode Diameter(mm)]]/(10*2))^2, Constants!$B$4 * PI()*(Table1[[#This Row],[Electrode Diameter(mm)]]/(10*2))^2)</f>
        <v>12.545073398522277</v>
      </c>
      <c r="I146" s="12">
        <f t="shared" si="2"/>
        <v>10.663312388743934</v>
      </c>
      <c r="J146">
        <f>Table1[[#This Row],[Coating weight (mg)]]/Constants!$C$2</f>
        <v>9.9032076028295037</v>
      </c>
      <c r="K146">
        <f>(Table1[[#This Row],[Coating weight (mg)]]/1000)/(((Table1[[#This Row],[Electrode Thickness(µm)]]-Constants!$E$4)*10^-4)*Constants!$C$4)</f>
        <v>-8.252673002357918</v>
      </c>
    </row>
    <row r="147" spans="1:11" x14ac:dyDescent="0.35">
      <c r="A147" s="28">
        <v>11905</v>
      </c>
      <c r="B147" t="s">
        <v>35</v>
      </c>
      <c r="C147" s="13" t="s">
        <v>96</v>
      </c>
      <c r="D147" t="s">
        <v>15</v>
      </c>
      <c r="E147">
        <v>22.8</v>
      </c>
      <c r="G147">
        <v>12.7</v>
      </c>
      <c r="H147">
        <f>Table1[[#This Row],[Total electrode weight (mg)]] - IF(ROW()&lt;40, Constants!$B$2 * PI()*(Table1[[#This Row],[Electrode Diameter(mm)]]/(10*2))^2, Constants!$B$4 * PI()*(Table1[[#This Row],[Electrode Diameter(mm)]]/(10*2))^2)</f>
        <v>18.745073398522276</v>
      </c>
      <c r="I147" s="12">
        <f t="shared" si="2"/>
        <v>17.432918260625719</v>
      </c>
      <c r="J147">
        <f>Table1[[#This Row],[Coating weight (mg)]]/Constants!$C$2</f>
        <v>14.797550201476666</v>
      </c>
      <c r="K147">
        <f>(Table1[[#This Row],[Coating weight (mg)]]/1000)/(((Table1[[#This Row],[Electrode Thickness(µm)]]-Constants!$E$4)*10^-4)*Constants!$C$4)</f>
        <v>-12.331291834563887</v>
      </c>
    </row>
    <row r="148" spans="1:11" x14ac:dyDescent="0.35">
      <c r="A148" s="28">
        <v>11906</v>
      </c>
      <c r="B148" t="s">
        <v>36</v>
      </c>
      <c r="C148" s="13" t="s">
        <v>96</v>
      </c>
      <c r="D148" t="s">
        <v>15</v>
      </c>
      <c r="E148">
        <v>22.7</v>
      </c>
      <c r="G148">
        <v>12.7</v>
      </c>
      <c r="H148">
        <f>Table1[[#This Row],[Total electrode weight (mg)]] - IF(ROW()&lt;40, Constants!$B$2 * PI()*(Table1[[#This Row],[Electrode Diameter(mm)]]/(10*2))^2, Constants!$B$4 * PI()*(Table1[[#This Row],[Electrode Diameter(mm)]]/(10*2))^2)</f>
        <v>18.645073398522275</v>
      </c>
      <c r="I148" s="12">
        <f t="shared" si="2"/>
        <v>17.339918260625716</v>
      </c>
      <c r="J148">
        <f>Table1[[#This Row],[Coating weight (mg)]]/Constants!$C$2</f>
        <v>14.718609191821065</v>
      </c>
      <c r="K148">
        <f>(Table1[[#This Row],[Coating weight (mg)]]/1000)/(((Table1[[#This Row],[Electrode Thickness(µm)]]-Constants!$E$4)*10^-4)*Constants!$C$4)</f>
        <v>-12.265507659850886</v>
      </c>
    </row>
    <row r="149" spans="1:11" x14ac:dyDescent="0.35">
      <c r="A149" s="28">
        <v>11907</v>
      </c>
      <c r="B149" t="s">
        <v>37</v>
      </c>
      <c r="C149" s="13" t="s">
        <v>96</v>
      </c>
      <c r="D149" t="s">
        <v>15</v>
      </c>
      <c r="E149">
        <v>22.2</v>
      </c>
      <c r="G149">
        <v>12.7</v>
      </c>
      <c r="H149">
        <f>Table1[[#This Row],[Total electrode weight (mg)]] - IF(ROW()&lt;40, Constants!$B$2 * PI()*(Table1[[#This Row],[Electrode Diameter(mm)]]/(10*2))^2, Constants!$B$4 * PI()*(Table1[[#This Row],[Electrode Diameter(mm)]]/(10*2))^2)</f>
        <v>18.145073398522275</v>
      </c>
      <c r="I149" s="12">
        <f t="shared" si="2"/>
        <v>16.874918260625716</v>
      </c>
      <c r="J149">
        <f>Table1[[#This Row],[Coating weight (mg)]]/Constants!$C$2</f>
        <v>14.323904143543068</v>
      </c>
      <c r="K149">
        <f>(Table1[[#This Row],[Coating weight (mg)]]/1000)/(((Table1[[#This Row],[Electrode Thickness(µm)]]-Constants!$E$4)*10^-4)*Constants!$C$4)</f>
        <v>-11.93658678628589</v>
      </c>
    </row>
    <row r="150" spans="1:11" x14ac:dyDescent="0.35">
      <c r="A150" s="28">
        <v>11908</v>
      </c>
      <c r="B150" t="s">
        <v>27</v>
      </c>
      <c r="C150" s="13" t="s">
        <v>97</v>
      </c>
      <c r="D150" t="s">
        <v>15</v>
      </c>
      <c r="E150">
        <v>20.7</v>
      </c>
      <c r="G150">
        <v>12.7</v>
      </c>
      <c r="H150">
        <f>Table1[[#This Row],[Total electrode weight (mg)]] - IF(ROW()&lt;40, Constants!$B$2 * PI()*(Table1[[#This Row],[Electrode Diameter(mm)]]/(10*2))^2, Constants!$B$4 * PI()*(Table1[[#This Row],[Electrode Diameter(mm)]]/(10*2))^2)</f>
        <v>16.645073398522275</v>
      </c>
      <c r="I150" s="12">
        <f t="shared" si="2"/>
        <v>15.479918260625716</v>
      </c>
      <c r="J150">
        <f>Table1[[#This Row],[Coating weight (mg)]]/Constants!$C$2</f>
        <v>13.139788998709077</v>
      </c>
      <c r="K150">
        <f>(Table1[[#This Row],[Coating weight (mg)]]/1000)/(((Table1[[#This Row],[Electrode Thickness(µm)]]-Constants!$E$4)*10^-4)*Constants!$C$4)</f>
        <v>-10.949824165590895</v>
      </c>
    </row>
    <row r="151" spans="1:11" x14ac:dyDescent="0.35">
      <c r="A151" s="28">
        <v>11909</v>
      </c>
      <c r="B151" t="s">
        <v>28</v>
      </c>
      <c r="C151" s="13" t="s">
        <v>97</v>
      </c>
      <c r="D151" t="s">
        <v>15</v>
      </c>
      <c r="E151">
        <v>20.5</v>
      </c>
      <c r="G151">
        <v>12.7</v>
      </c>
      <c r="H151">
        <f>Table1[[#This Row],[Total electrode weight (mg)]] - IF(ROW()&lt;40, Constants!$B$2 * PI()*(Table1[[#This Row],[Electrode Diameter(mm)]]/(10*2))^2, Constants!$B$4 * PI()*(Table1[[#This Row],[Electrode Diameter(mm)]]/(10*2))^2)</f>
        <v>16.445073398522275</v>
      </c>
      <c r="I151" s="12">
        <f t="shared" si="2"/>
        <v>15.293918260625716</v>
      </c>
      <c r="J151">
        <f>Table1[[#This Row],[Coating weight (mg)]]/Constants!$C$2</f>
        <v>12.981906979397879</v>
      </c>
      <c r="K151">
        <f>(Table1[[#This Row],[Coating weight (mg)]]/1000)/(((Table1[[#This Row],[Electrode Thickness(µm)]]-Constants!$E$4)*10^-4)*Constants!$C$4)</f>
        <v>-10.818255816164898</v>
      </c>
    </row>
    <row r="152" spans="1:11" x14ac:dyDescent="0.35">
      <c r="A152" s="28">
        <v>11910</v>
      </c>
      <c r="B152" t="s">
        <v>82</v>
      </c>
      <c r="C152" s="13" t="s">
        <v>97</v>
      </c>
      <c r="D152" t="s">
        <v>15</v>
      </c>
      <c r="E152">
        <v>21.1</v>
      </c>
      <c r="G152">
        <v>12.7</v>
      </c>
      <c r="H152">
        <f>Table1[[#This Row],[Total electrode weight (mg)]] - IF(ROW()&lt;40, Constants!$B$2 * PI()*(Table1[[#This Row],[Electrode Diameter(mm)]]/(10*2))^2, Constants!$B$4 * PI()*(Table1[[#This Row],[Electrode Diameter(mm)]]/(10*2))^2)</f>
        <v>17.045073398522277</v>
      </c>
      <c r="I152" s="12">
        <f t="shared" si="2"/>
        <v>15.851918260625718</v>
      </c>
      <c r="J152">
        <f>Table1[[#This Row],[Coating weight (mg)]]/Constants!$C$2</f>
        <v>13.455553037331477</v>
      </c>
      <c r="K152">
        <f>(Table1[[#This Row],[Coating weight (mg)]]/1000)/(((Table1[[#This Row],[Electrode Thickness(µm)]]-Constants!$E$4)*10^-4)*Constants!$C$4)</f>
        <v>-11.212960864442897</v>
      </c>
    </row>
    <row r="153" spans="1:11" x14ac:dyDescent="0.35">
      <c r="A153" s="28">
        <v>11911</v>
      </c>
      <c r="B153" t="s">
        <v>83</v>
      </c>
      <c r="C153" s="13" t="s">
        <v>98</v>
      </c>
      <c r="D153" t="s">
        <v>15</v>
      </c>
      <c r="E153">
        <v>21.6</v>
      </c>
      <c r="G153">
        <v>12.7</v>
      </c>
      <c r="H153">
        <f>Table1[[#This Row],[Total electrode weight (mg)]] - IF(ROW()&lt;40, Constants!$B$2 * PI()*(Table1[[#This Row],[Electrode Diameter(mm)]]/(10*2))^2, Constants!$B$4 * PI()*(Table1[[#This Row],[Electrode Diameter(mm)]]/(10*2))^2)</f>
        <v>17.545073398522277</v>
      </c>
      <c r="I153" s="12">
        <f t="shared" si="2"/>
        <v>16.316918260625719</v>
      </c>
      <c r="J153">
        <f>Table1[[#This Row],[Coating weight (mg)]]/Constants!$C$2</f>
        <v>13.850258085609473</v>
      </c>
      <c r="K153">
        <f>(Table1[[#This Row],[Coating weight (mg)]]/1000)/(((Table1[[#This Row],[Electrode Thickness(µm)]]-Constants!$E$4)*10^-4)*Constants!$C$4)</f>
        <v>-11.541881738007893</v>
      </c>
    </row>
    <row r="154" spans="1:11" x14ac:dyDescent="0.35">
      <c r="A154" s="28">
        <v>11912</v>
      </c>
      <c r="B154" t="s">
        <v>85</v>
      </c>
      <c r="C154" s="13" t="s">
        <v>98</v>
      </c>
      <c r="D154" t="s">
        <v>15</v>
      </c>
      <c r="E154">
        <v>33.1</v>
      </c>
      <c r="G154">
        <v>12.7</v>
      </c>
      <c r="H154">
        <f>Table1[[#This Row],[Total electrode weight (mg)]] - IF(ROW()&lt;40, Constants!$B$2 * PI()*(Table1[[#This Row],[Electrode Diameter(mm)]]/(10*2))^2, Constants!$B$4 * PI()*(Table1[[#This Row],[Electrode Diameter(mm)]]/(10*2))^2)</f>
        <v>29.045073398522277</v>
      </c>
      <c r="I154" s="12">
        <f t="shared" si="2"/>
        <v>27.01191826062572</v>
      </c>
      <c r="J154">
        <f>Table1[[#This Row],[Coating weight (mg)]]/Constants!$C$2</f>
        <v>22.928474196003407</v>
      </c>
      <c r="K154">
        <f>(Table1[[#This Row],[Coating weight (mg)]]/1000)/(((Table1[[#This Row],[Electrode Thickness(µm)]]-Constants!$E$4)*10^-4)*Constants!$C$4)</f>
        <v>-19.107061830002834</v>
      </c>
    </row>
    <row r="155" spans="1:11" x14ac:dyDescent="0.35">
      <c r="A155" s="28">
        <v>11913</v>
      </c>
      <c r="B155" t="s">
        <v>99</v>
      </c>
      <c r="C155" s="13" t="s">
        <v>98</v>
      </c>
      <c r="D155" t="s">
        <v>15</v>
      </c>
      <c r="E155">
        <v>38.799999999999997</v>
      </c>
      <c r="G155">
        <v>12.7</v>
      </c>
      <c r="H155">
        <f>Table1[[#This Row],[Total electrode weight (mg)]] - IF(ROW()&lt;40, Constants!$B$2 * PI()*(Table1[[#This Row],[Electrode Diameter(mm)]]/(10*2))^2, Constants!$B$4 * PI()*(Table1[[#This Row],[Electrode Diameter(mm)]]/(10*2))^2)</f>
        <v>34.745073398522273</v>
      </c>
      <c r="I155" s="12">
        <f t="shared" si="2"/>
        <v>32.312918260625715</v>
      </c>
      <c r="J155">
        <f>Table1[[#This Row],[Coating weight (mg)]]/Constants!$C$2</f>
        <v>27.428111746372569</v>
      </c>
      <c r="K155">
        <f>(Table1[[#This Row],[Coating weight (mg)]]/1000)/(((Table1[[#This Row],[Electrode Thickness(µm)]]-Constants!$E$4)*10^-4)*Constants!$C$4)</f>
        <v>-22.856759788643803</v>
      </c>
    </row>
    <row r="156" spans="1:11" x14ac:dyDescent="0.35">
      <c r="A156" s="28">
        <v>11926</v>
      </c>
      <c r="B156" t="s">
        <v>83</v>
      </c>
      <c r="C156" s="13" t="s">
        <v>100</v>
      </c>
      <c r="D156" t="s">
        <v>15</v>
      </c>
      <c r="E156">
        <v>19.399999999999999</v>
      </c>
      <c r="G156">
        <v>12.7</v>
      </c>
      <c r="H156">
        <f>Table1[[#This Row],[Total electrode weight (mg)]] - IF(ROW()&lt;40, Constants!$B$2 * PI()*(Table1[[#This Row],[Electrode Diameter(mm)]]/(10*2))^2, Constants!$B$4 * PI()*(Table1[[#This Row],[Electrode Diameter(mm)]]/(10*2))^2)</f>
        <v>15.345073398522274</v>
      </c>
      <c r="I156" s="12">
        <f t="shared" si="2"/>
        <v>14.270918260625715</v>
      </c>
      <c r="J156">
        <f>Table1[[#This Row],[Coating weight (mg)]]/Constants!$C$2</f>
        <v>12.113555873186284</v>
      </c>
      <c r="K156">
        <f>(Table1[[#This Row],[Coating weight (mg)]]/1000)/(((Table1[[#This Row],[Electrode Thickness(µm)]]-Constants!$E$4)*10^-4)*Constants!$C$4)</f>
        <v>-10.094629894321901</v>
      </c>
    </row>
    <row r="157" spans="1:11" x14ac:dyDescent="0.35">
      <c r="A157" s="28">
        <v>11927</v>
      </c>
      <c r="B157" t="s">
        <v>85</v>
      </c>
      <c r="C157" s="13" t="s">
        <v>100</v>
      </c>
      <c r="D157" t="s">
        <v>15</v>
      </c>
      <c r="E157">
        <v>20.2</v>
      </c>
      <c r="G157">
        <v>12.7</v>
      </c>
      <c r="H157">
        <f>Table1[[#This Row],[Total electrode weight (mg)]] - IF(ROW()&lt;40, Constants!$B$2 * PI()*(Table1[[#This Row],[Electrode Diameter(mm)]]/(10*2))^2, Constants!$B$4 * PI()*(Table1[[#This Row],[Electrode Diameter(mm)]]/(10*2))^2)</f>
        <v>16.145073398522275</v>
      </c>
      <c r="I157" s="12">
        <f t="shared" si="2"/>
        <v>15.014918260625716</v>
      </c>
      <c r="J157">
        <f>Table1[[#This Row],[Coating weight (mg)]]/Constants!$C$2</f>
        <v>12.745083950431081</v>
      </c>
      <c r="K157">
        <f>(Table1[[#This Row],[Coating weight (mg)]]/1000)/(((Table1[[#This Row],[Electrode Thickness(µm)]]-Constants!$E$4)*10^-4)*Constants!$C$4)</f>
        <v>-10.620903292025899</v>
      </c>
    </row>
    <row r="158" spans="1:11" x14ac:dyDescent="0.35">
      <c r="A158" s="28">
        <v>11928</v>
      </c>
      <c r="B158" t="s">
        <v>99</v>
      </c>
      <c r="C158" s="13" t="s">
        <v>100</v>
      </c>
      <c r="D158" t="s">
        <v>15</v>
      </c>
      <c r="E158">
        <v>20.2</v>
      </c>
      <c r="G158">
        <v>12.7</v>
      </c>
      <c r="H158">
        <f>Table1[[#This Row],[Total electrode weight (mg)]] - IF(ROW()&lt;40, Constants!$B$2 * PI()*(Table1[[#This Row],[Electrode Diameter(mm)]]/(10*2))^2, Constants!$B$4 * PI()*(Table1[[#This Row],[Electrode Diameter(mm)]]/(10*2))^2)</f>
        <v>16.145073398522275</v>
      </c>
      <c r="I158" s="12">
        <f t="shared" si="2"/>
        <v>15.014918260625716</v>
      </c>
      <c r="J158">
        <f>Table1[[#This Row],[Coating weight (mg)]]/Constants!$C$2</f>
        <v>12.745083950431081</v>
      </c>
      <c r="K158">
        <f>(Table1[[#This Row],[Coating weight (mg)]]/1000)/(((Table1[[#This Row],[Electrode Thickness(µm)]]-Constants!$E$4)*10^-4)*Constants!$C$4)</f>
        <v>-10.620903292025899</v>
      </c>
    </row>
    <row r="159" spans="1:11" x14ac:dyDescent="0.35">
      <c r="A159" s="28">
        <v>11929</v>
      </c>
      <c r="B159" t="s">
        <v>101</v>
      </c>
      <c r="C159" s="13" t="s">
        <v>100</v>
      </c>
      <c r="D159" t="s">
        <v>15</v>
      </c>
      <c r="E159">
        <v>20.100000000000001</v>
      </c>
      <c r="G159">
        <v>12.7</v>
      </c>
      <c r="H159">
        <f>Table1[[#This Row],[Total electrode weight (mg)]] - IF(ROW()&lt;40, Constants!$B$2 * PI()*(Table1[[#This Row],[Electrode Diameter(mm)]]/(10*2))^2, Constants!$B$4 * PI()*(Table1[[#This Row],[Electrode Diameter(mm)]]/(10*2))^2)</f>
        <v>16.045073398522277</v>
      </c>
      <c r="I159" s="12">
        <f t="shared" si="2"/>
        <v>14.921918260625718</v>
      </c>
      <c r="J159">
        <f>Table1[[#This Row],[Coating weight (mg)]]/Constants!$C$2</f>
        <v>12.666142940775483</v>
      </c>
      <c r="K159">
        <f>(Table1[[#This Row],[Coating weight (mg)]]/1000)/(((Table1[[#This Row],[Electrode Thickness(µm)]]-Constants!$E$4)*10^-4)*Constants!$C$4)</f>
        <v>-10.555119117312902</v>
      </c>
    </row>
    <row r="160" spans="1:11" x14ac:dyDescent="0.35">
      <c r="A160" s="28">
        <v>11939</v>
      </c>
      <c r="B160" t="s">
        <v>102</v>
      </c>
      <c r="C160" s="13" t="s">
        <v>103</v>
      </c>
      <c r="D160" t="s">
        <v>66</v>
      </c>
      <c r="E160">
        <v>15.8</v>
      </c>
      <c r="G160">
        <v>12.7</v>
      </c>
      <c r="H160">
        <f>Table1[[#This Row],[Total electrode weight (mg)]] - IF(ROW()&lt;40, Constants!$B$2 * PI()*(Table1[[#This Row],[Electrode Diameter(mm)]]/(10*2))^2, Constants!$B$4 * PI()*(Table1[[#This Row],[Electrode Diameter(mm)]]/(10*2))^2)</f>
        <v>11.745073398522276</v>
      </c>
      <c r="I160" s="12">
        <f t="shared" si="2"/>
        <v>9.9833123887439346</v>
      </c>
      <c r="J160">
        <f>Table1[[#This Row],[Coating weight (mg)]]/Constants!$C$2</f>
        <v>9.2716795255847071</v>
      </c>
      <c r="K160">
        <f>(Table1[[#This Row],[Coating weight (mg)]]/1000)/(((Table1[[#This Row],[Electrode Thickness(µm)]]-Constants!$E$4)*10^-4)*Constants!$C$4)</f>
        <v>-7.7263996046539214</v>
      </c>
    </row>
    <row r="161" spans="1:11" x14ac:dyDescent="0.35">
      <c r="A161" s="28">
        <v>11940</v>
      </c>
      <c r="B161" t="s">
        <v>30</v>
      </c>
      <c r="C161" s="13" t="s">
        <v>103</v>
      </c>
      <c r="D161" t="s">
        <v>66</v>
      </c>
      <c r="E161">
        <v>17</v>
      </c>
      <c r="G161">
        <v>12.7</v>
      </c>
      <c r="H161">
        <f>Table1[[#This Row],[Total electrode weight (mg)]] - IF(ROW()&lt;40, Constants!$B$2 * PI()*(Table1[[#This Row],[Electrode Diameter(mm)]]/(10*2))^2, Constants!$B$4 * PI()*(Table1[[#This Row],[Electrode Diameter(mm)]]/(10*2))^2)</f>
        <v>12.945073398522275</v>
      </c>
      <c r="I161" s="12">
        <f t="shared" si="2"/>
        <v>11.003312388743934</v>
      </c>
      <c r="J161">
        <f>Table1[[#This Row],[Coating weight (mg)]]/Constants!$C$2</f>
        <v>10.218971641451899</v>
      </c>
      <c r="K161">
        <f>(Table1[[#This Row],[Coating weight (mg)]]/1000)/(((Table1[[#This Row],[Electrode Thickness(µm)]]-Constants!$E$4)*10^-4)*Constants!$C$4)</f>
        <v>-8.5158097012099159</v>
      </c>
    </row>
    <row r="162" spans="1:11" x14ac:dyDescent="0.35">
      <c r="A162" s="28">
        <v>11941</v>
      </c>
      <c r="B162" t="s">
        <v>31</v>
      </c>
      <c r="C162" s="13" t="s">
        <v>103</v>
      </c>
      <c r="D162" t="s">
        <v>66</v>
      </c>
      <c r="E162">
        <v>16.3</v>
      </c>
      <c r="G162">
        <v>12.7</v>
      </c>
      <c r="H162">
        <f>Table1[[#This Row],[Total electrode weight (mg)]] - IF(ROW()&lt;40, Constants!$B$2 * PI()*(Table1[[#This Row],[Electrode Diameter(mm)]]/(10*2))^2, Constants!$B$4 * PI()*(Table1[[#This Row],[Electrode Diameter(mm)]]/(10*2))^2)</f>
        <v>12.245073398522276</v>
      </c>
      <c r="I162" s="12">
        <f t="shared" si="2"/>
        <v>10.408312388743935</v>
      </c>
      <c r="J162">
        <f>Table1[[#This Row],[Coating weight (mg)]]/Constants!$C$2</f>
        <v>9.6663845738627039</v>
      </c>
      <c r="K162">
        <f>(Table1[[#This Row],[Coating weight (mg)]]/1000)/(((Table1[[#This Row],[Electrode Thickness(µm)]]-Constants!$E$4)*10^-4)*Constants!$C$4)</f>
        <v>-8.0553204782189187</v>
      </c>
    </row>
    <row r="163" spans="1:11" x14ac:dyDescent="0.35">
      <c r="A163" s="28">
        <v>11942</v>
      </c>
      <c r="B163" t="s">
        <v>18</v>
      </c>
      <c r="C163" s="13" t="s">
        <v>103</v>
      </c>
      <c r="D163" t="s">
        <v>66</v>
      </c>
      <c r="E163">
        <v>15.8</v>
      </c>
      <c r="G163">
        <v>12.7</v>
      </c>
      <c r="H163">
        <f>Table1[[#This Row],[Total electrode weight (mg)]] - IF(ROW()&lt;40, Constants!$B$2 * PI()*(Table1[[#This Row],[Electrode Diameter(mm)]]/(10*2))^2, Constants!$B$4 * PI()*(Table1[[#This Row],[Electrode Diameter(mm)]]/(10*2))^2)</f>
        <v>11.745073398522276</v>
      </c>
      <c r="I163" s="12">
        <f t="shared" si="2"/>
        <v>9.9833123887439346</v>
      </c>
      <c r="J163">
        <f>Table1[[#This Row],[Coating weight (mg)]]/Constants!$C$2</f>
        <v>9.2716795255847071</v>
      </c>
      <c r="K163">
        <f>(Table1[[#This Row],[Coating weight (mg)]]/1000)/(((Table1[[#This Row],[Electrode Thickness(µm)]]-Constants!$E$4)*10^-4)*Constants!$C$4)</f>
        <v>-7.7263996046539214</v>
      </c>
    </row>
    <row r="164" spans="1:11" x14ac:dyDescent="0.35">
      <c r="A164" s="28">
        <v>11943</v>
      </c>
      <c r="B164" t="s">
        <v>23</v>
      </c>
      <c r="C164" s="13" t="s">
        <v>104</v>
      </c>
      <c r="D164" t="s">
        <v>66</v>
      </c>
      <c r="E164">
        <v>18.2</v>
      </c>
      <c r="G164">
        <v>12.7</v>
      </c>
      <c r="H164">
        <f>Table1[[#This Row],[Total electrode weight (mg)]] - IF(ROW()&lt;40, Constants!$B$2 * PI()*(Table1[[#This Row],[Electrode Diameter(mm)]]/(10*2))^2, Constants!$B$4 * PI()*(Table1[[#This Row],[Electrode Diameter(mm)]]/(10*2))^2)</f>
        <v>14.145073398522275</v>
      </c>
      <c r="I164" s="12">
        <f t="shared" si="2"/>
        <v>12.023312388743934</v>
      </c>
      <c r="J164">
        <f>Table1[[#This Row],[Coating weight (mg)]]/Constants!$C$2</f>
        <v>11.166263757319092</v>
      </c>
      <c r="K164">
        <f>(Table1[[#This Row],[Coating weight (mg)]]/1000)/(((Table1[[#This Row],[Electrode Thickness(µm)]]-Constants!$E$4)*10^-4)*Constants!$C$4)</f>
        <v>-9.3052197977659095</v>
      </c>
    </row>
    <row r="165" spans="1:11" x14ac:dyDescent="0.35">
      <c r="A165" s="28">
        <v>11944</v>
      </c>
      <c r="B165" t="s">
        <v>21</v>
      </c>
      <c r="C165" s="13" t="s">
        <v>104</v>
      </c>
      <c r="D165" t="s">
        <v>66</v>
      </c>
      <c r="E165">
        <v>19.399999999999999</v>
      </c>
      <c r="G165">
        <v>12.7</v>
      </c>
      <c r="H165">
        <f>Table1[[#This Row],[Total electrode weight (mg)]] - IF(ROW()&lt;40, Constants!$B$2 * PI()*(Table1[[#This Row],[Electrode Diameter(mm)]]/(10*2))^2, Constants!$B$4 * PI()*(Table1[[#This Row],[Electrode Diameter(mm)]]/(10*2))^2)</f>
        <v>15.345073398522274</v>
      </c>
      <c r="I165" s="12">
        <f t="shared" si="2"/>
        <v>13.043312388743933</v>
      </c>
      <c r="J165">
        <f>Table1[[#This Row],[Coating weight (mg)]]/Constants!$C$2</f>
        <v>12.113555873186284</v>
      </c>
      <c r="K165">
        <f>(Table1[[#This Row],[Coating weight (mg)]]/1000)/(((Table1[[#This Row],[Electrode Thickness(µm)]]-Constants!$E$4)*10^-4)*Constants!$C$4)</f>
        <v>-10.094629894321901</v>
      </c>
    </row>
    <row r="166" spans="1:11" x14ac:dyDescent="0.35">
      <c r="A166" s="28">
        <v>11945</v>
      </c>
      <c r="B166" t="s">
        <v>17</v>
      </c>
      <c r="C166" s="13" t="s">
        <v>104</v>
      </c>
      <c r="D166" t="s">
        <v>66</v>
      </c>
      <c r="E166">
        <v>19.7</v>
      </c>
      <c r="G166">
        <v>12.7</v>
      </c>
      <c r="H166">
        <f>Table1[[#This Row],[Total electrode weight (mg)]] - IF(ROW()&lt;40, Constants!$B$2 * PI()*(Table1[[#This Row],[Electrode Diameter(mm)]]/(10*2))^2, Constants!$B$4 * PI()*(Table1[[#This Row],[Electrode Diameter(mm)]]/(10*2))^2)</f>
        <v>15.645073398522275</v>
      </c>
      <c r="I166" s="12">
        <f t="shared" si="2"/>
        <v>13.298312388743934</v>
      </c>
      <c r="J166">
        <f>Table1[[#This Row],[Coating weight (mg)]]/Constants!$C$2</f>
        <v>12.350378902153084</v>
      </c>
      <c r="K166">
        <f>(Table1[[#This Row],[Coating weight (mg)]]/1000)/(((Table1[[#This Row],[Electrode Thickness(µm)]]-Constants!$E$4)*10^-4)*Constants!$C$4)</f>
        <v>-10.291982418460901</v>
      </c>
    </row>
    <row r="167" spans="1:11" x14ac:dyDescent="0.35">
      <c r="A167" s="28">
        <v>11946</v>
      </c>
      <c r="B167" t="s">
        <v>39</v>
      </c>
      <c r="C167" s="13" t="s">
        <v>104</v>
      </c>
      <c r="D167" t="s">
        <v>66</v>
      </c>
      <c r="E167">
        <v>19.899999999999999</v>
      </c>
      <c r="G167">
        <v>12.7</v>
      </c>
      <c r="H167">
        <f>Table1[[#This Row],[Total electrode weight (mg)]] - IF(ROW()&lt;40, Constants!$B$2 * PI()*(Table1[[#This Row],[Electrode Diameter(mm)]]/(10*2))^2, Constants!$B$4 * PI()*(Table1[[#This Row],[Electrode Diameter(mm)]]/(10*2))^2)</f>
        <v>15.845073398522274</v>
      </c>
      <c r="I167" s="12">
        <f t="shared" si="2"/>
        <v>13.468312388743932</v>
      </c>
      <c r="J167">
        <f>Table1[[#This Row],[Coating weight (mg)]]/Constants!$C$2</f>
        <v>12.508260921464281</v>
      </c>
      <c r="K167">
        <f>(Table1[[#This Row],[Coating weight (mg)]]/1000)/(((Table1[[#This Row],[Electrode Thickness(µm)]]-Constants!$E$4)*10^-4)*Constants!$C$4)</f>
        <v>-10.423550767886901</v>
      </c>
    </row>
    <row r="168" spans="1:11" x14ac:dyDescent="0.35">
      <c r="A168" s="28">
        <v>11947</v>
      </c>
      <c r="B168" t="s">
        <v>40</v>
      </c>
      <c r="C168" s="13" t="s">
        <v>105</v>
      </c>
      <c r="D168" t="s">
        <v>15</v>
      </c>
      <c r="E168">
        <v>19.600000000000001</v>
      </c>
      <c r="G168">
        <v>12.7</v>
      </c>
      <c r="H168">
        <f>Table1[[#This Row],[Total electrode weight (mg)]] - IF(ROW()&lt;40, Constants!$B$2 * PI()*(Table1[[#This Row],[Electrode Diameter(mm)]]/(10*2))^2, Constants!$B$4 * PI()*(Table1[[#This Row],[Electrode Diameter(mm)]]/(10*2))^2)</f>
        <v>15.545073398522277</v>
      </c>
      <c r="I168" s="12">
        <f t="shared" si="2"/>
        <v>14.456918260625718</v>
      </c>
      <c r="J168">
        <f>Table1[[#This Row],[Coating weight (mg)]]/Constants!$C$2</f>
        <v>12.271437892497486</v>
      </c>
      <c r="K168">
        <f>(Table1[[#This Row],[Coating weight (mg)]]/1000)/(((Table1[[#This Row],[Electrode Thickness(µm)]]-Constants!$E$4)*10^-4)*Constants!$C$4)</f>
        <v>-10.226198243747904</v>
      </c>
    </row>
    <row r="169" spans="1:11" x14ac:dyDescent="0.35">
      <c r="A169" s="28">
        <v>11948</v>
      </c>
      <c r="B169" t="s">
        <v>41</v>
      </c>
      <c r="C169" s="13" t="s">
        <v>105</v>
      </c>
      <c r="D169" t="s">
        <v>15</v>
      </c>
      <c r="E169">
        <v>19.7</v>
      </c>
      <c r="G169">
        <v>12.7</v>
      </c>
      <c r="H169">
        <f>Table1[[#This Row],[Total electrode weight (mg)]] - IF(ROW()&lt;40, Constants!$B$2 * PI()*(Table1[[#This Row],[Electrode Diameter(mm)]]/(10*2))^2, Constants!$B$4 * PI()*(Table1[[#This Row],[Electrode Diameter(mm)]]/(10*2))^2)</f>
        <v>15.645073398522275</v>
      </c>
      <c r="I169" s="12">
        <f t="shared" si="2"/>
        <v>14.549918260625716</v>
      </c>
      <c r="J169">
        <f>Table1[[#This Row],[Coating weight (mg)]]/Constants!$C$2</f>
        <v>12.350378902153084</v>
      </c>
      <c r="K169">
        <f>(Table1[[#This Row],[Coating weight (mg)]]/1000)/(((Table1[[#This Row],[Electrode Thickness(µm)]]-Constants!$E$4)*10^-4)*Constants!$C$4)</f>
        <v>-10.291982418460901</v>
      </c>
    </row>
    <row r="170" spans="1:11" x14ac:dyDescent="0.35">
      <c r="A170" s="28">
        <v>11952</v>
      </c>
      <c r="B170" t="s">
        <v>42</v>
      </c>
      <c r="C170" s="13" t="s">
        <v>106</v>
      </c>
      <c r="D170" t="s">
        <v>15</v>
      </c>
      <c r="E170">
        <v>19.2</v>
      </c>
      <c r="G170">
        <v>12.7</v>
      </c>
      <c r="H170">
        <f>Table1[[#This Row],[Total electrode weight (mg)]] - IF(ROW()&lt;40, Constants!$B$2 * PI()*(Table1[[#This Row],[Electrode Diameter(mm)]]/(10*2))^2, Constants!$B$4 * PI()*(Table1[[#This Row],[Electrode Diameter(mm)]]/(10*2))^2)</f>
        <v>15.145073398522275</v>
      </c>
      <c r="I170" s="12">
        <f t="shared" si="2"/>
        <v>14.084918260625717</v>
      </c>
      <c r="J170">
        <f>Table1[[#This Row],[Coating weight (mg)]]/Constants!$C$2</f>
        <v>11.955673853875085</v>
      </c>
      <c r="K170">
        <f>(Table1[[#This Row],[Coating weight (mg)]]/1000)/(((Table1[[#This Row],[Electrode Thickness(µm)]]-Constants!$E$4)*10^-4)*Constants!$C$4)</f>
        <v>-9.9630615448959041</v>
      </c>
    </row>
    <row r="171" spans="1:11" x14ac:dyDescent="0.35">
      <c r="A171" s="28">
        <v>11953</v>
      </c>
      <c r="B171" t="s">
        <v>16</v>
      </c>
      <c r="C171" s="13" t="s">
        <v>106</v>
      </c>
      <c r="D171" t="s">
        <v>15</v>
      </c>
      <c r="E171">
        <v>18.2</v>
      </c>
      <c r="G171">
        <v>12.7</v>
      </c>
      <c r="H171">
        <f>Table1[[#This Row],[Total electrode weight (mg)]] - IF(ROW()&lt;40, Constants!$B$2 * PI()*(Table1[[#This Row],[Electrode Diameter(mm)]]/(10*2))^2, Constants!$B$4 * PI()*(Table1[[#This Row],[Electrode Diameter(mm)]]/(10*2))^2)</f>
        <v>14.145073398522275</v>
      </c>
      <c r="I171" s="12">
        <f t="shared" si="2"/>
        <v>13.154918260625717</v>
      </c>
      <c r="J171">
        <f>Table1[[#This Row],[Coating weight (mg)]]/Constants!$C$2</f>
        <v>11.166263757319092</v>
      </c>
      <c r="K171">
        <f>(Table1[[#This Row],[Coating weight (mg)]]/1000)/(((Table1[[#This Row],[Electrode Thickness(µm)]]-Constants!$E$4)*10^-4)*Constants!$C$4)</f>
        <v>-9.3052197977659095</v>
      </c>
    </row>
    <row r="172" spans="1:11" x14ac:dyDescent="0.35">
      <c r="A172" s="28">
        <v>11954</v>
      </c>
      <c r="B172" t="s">
        <v>44</v>
      </c>
      <c r="C172" s="13" t="s">
        <v>106</v>
      </c>
      <c r="D172" t="s">
        <v>15</v>
      </c>
      <c r="E172">
        <v>18.600000000000001</v>
      </c>
      <c r="G172">
        <v>12.7</v>
      </c>
      <c r="H172">
        <f>Table1[[#This Row],[Total electrode weight (mg)]] - IF(ROW()&lt;40, Constants!$B$2 * PI()*(Table1[[#This Row],[Electrode Diameter(mm)]]/(10*2))^2, Constants!$B$4 * PI()*(Table1[[#This Row],[Electrode Diameter(mm)]]/(10*2))^2)</f>
        <v>14.545073398522277</v>
      </c>
      <c r="I172" s="12">
        <f t="shared" si="2"/>
        <v>13.526918260625719</v>
      </c>
      <c r="J172">
        <f>Table1[[#This Row],[Coating weight (mg)]]/Constants!$C$2</f>
        <v>11.482027795941491</v>
      </c>
      <c r="K172">
        <f>(Table1[[#This Row],[Coating weight (mg)]]/1000)/(((Table1[[#This Row],[Electrode Thickness(µm)]]-Constants!$E$4)*10^-4)*Constants!$C$4)</f>
        <v>-9.5683564966179073</v>
      </c>
    </row>
    <row r="173" spans="1:11" x14ac:dyDescent="0.35">
      <c r="A173" s="28">
        <v>11955</v>
      </c>
      <c r="B173" t="s">
        <v>45</v>
      </c>
      <c r="C173" s="13" t="s">
        <v>106</v>
      </c>
      <c r="D173" t="s">
        <v>15</v>
      </c>
      <c r="E173">
        <v>19.100000000000001</v>
      </c>
      <c r="G173">
        <v>12.7</v>
      </c>
      <c r="H173">
        <f>Table1[[#This Row],[Total electrode weight (mg)]] - IF(ROW()&lt;40, Constants!$B$2 * PI()*(Table1[[#This Row],[Electrode Diameter(mm)]]/(10*2))^2, Constants!$B$4 * PI()*(Table1[[#This Row],[Electrode Diameter(mm)]]/(10*2))^2)</f>
        <v>15.045073398522277</v>
      </c>
      <c r="I173" s="12">
        <f t="shared" si="2"/>
        <v>13.991918260625718</v>
      </c>
      <c r="J173">
        <f>Table1[[#This Row],[Coating weight (mg)]]/Constants!$C$2</f>
        <v>11.876732844219488</v>
      </c>
      <c r="K173">
        <f>(Table1[[#This Row],[Coating weight (mg)]]/1000)/(((Table1[[#This Row],[Electrode Thickness(µm)]]-Constants!$E$4)*10^-4)*Constants!$C$4)</f>
        <v>-9.8972773701829055</v>
      </c>
    </row>
    <row r="174" spans="1:11" x14ac:dyDescent="0.35">
      <c r="A174" s="28">
        <v>11956</v>
      </c>
      <c r="B174" t="s">
        <v>32</v>
      </c>
      <c r="C174" s="13" t="s">
        <v>106</v>
      </c>
      <c r="D174" t="s">
        <v>15</v>
      </c>
      <c r="E174">
        <v>18.7</v>
      </c>
      <c r="G174">
        <v>12.7</v>
      </c>
      <c r="H174">
        <f>Table1[[#This Row],[Total electrode weight (mg)]] - IF(ROW()&lt;40, Constants!$B$2 * PI()*(Table1[[#This Row],[Electrode Diameter(mm)]]/(10*2))^2, Constants!$B$4 * PI()*(Table1[[#This Row],[Electrode Diameter(mm)]]/(10*2))^2)</f>
        <v>14.645073398522275</v>
      </c>
      <c r="I174" s="12">
        <f t="shared" si="2"/>
        <v>13.619918260625717</v>
      </c>
      <c r="J174">
        <f>Table1[[#This Row],[Coating weight (mg)]]/Constants!$C$2</f>
        <v>11.560968805597089</v>
      </c>
      <c r="K174">
        <f>(Table1[[#This Row],[Coating weight (mg)]]/1000)/(((Table1[[#This Row],[Electrode Thickness(µm)]]-Constants!$E$4)*10^-4)*Constants!$C$4)</f>
        <v>-9.6341406713309059</v>
      </c>
    </row>
    <row r="175" spans="1:11" x14ac:dyDescent="0.35">
      <c r="A175" s="28">
        <v>11957</v>
      </c>
      <c r="B175" t="s">
        <v>34</v>
      </c>
      <c r="C175" s="13" t="s">
        <v>107</v>
      </c>
      <c r="D175" t="s">
        <v>66</v>
      </c>
      <c r="E175">
        <v>17.5</v>
      </c>
      <c r="G175">
        <v>12.7</v>
      </c>
      <c r="H175">
        <f>Table1[[#This Row],[Total electrode weight (mg)]] - IF(ROW()&lt;40, Constants!$B$2 * PI()*(Table1[[#This Row],[Electrode Diameter(mm)]]/(10*2))^2, Constants!$B$4 * PI()*(Table1[[#This Row],[Electrode Diameter(mm)]]/(10*2))^2)</f>
        <v>13.445073398522275</v>
      </c>
      <c r="I175" s="12">
        <f t="shared" si="2"/>
        <v>11.428312388743933</v>
      </c>
      <c r="J175">
        <f>Table1[[#This Row],[Coating weight (mg)]]/Constants!$C$2</f>
        <v>10.613676689729896</v>
      </c>
      <c r="K175">
        <f>(Table1[[#This Row],[Coating weight (mg)]]/1000)/(((Table1[[#This Row],[Electrode Thickness(µm)]]-Constants!$E$4)*10^-4)*Constants!$C$4)</f>
        <v>-8.8447305747749123</v>
      </c>
    </row>
    <row r="176" spans="1:11" x14ac:dyDescent="0.35">
      <c r="A176" s="28">
        <v>11958</v>
      </c>
      <c r="B176" t="s">
        <v>35</v>
      </c>
      <c r="C176" s="13" t="s">
        <v>107</v>
      </c>
      <c r="D176" t="s">
        <v>66</v>
      </c>
      <c r="E176">
        <v>18.100000000000001</v>
      </c>
      <c r="G176">
        <v>12.7</v>
      </c>
      <c r="H176">
        <f>Table1[[#This Row],[Total electrode weight (mg)]] - IF(ROW()&lt;40, Constants!$B$2 * PI()*(Table1[[#This Row],[Electrode Diameter(mm)]]/(10*2))^2, Constants!$B$4 * PI()*(Table1[[#This Row],[Electrode Diameter(mm)]]/(10*2))^2)</f>
        <v>14.045073398522277</v>
      </c>
      <c r="I176" s="12">
        <f t="shared" si="2"/>
        <v>11.938312388743935</v>
      </c>
      <c r="J176">
        <f>Table1[[#This Row],[Coating weight (mg)]]/Constants!$C$2</f>
        <v>11.087322747663494</v>
      </c>
      <c r="K176">
        <f>(Table1[[#This Row],[Coating weight (mg)]]/1000)/(((Table1[[#This Row],[Electrode Thickness(µm)]]-Constants!$E$4)*10^-4)*Constants!$C$4)</f>
        <v>-9.2394356230529109</v>
      </c>
    </row>
    <row r="177" spans="1:11" x14ac:dyDescent="0.35">
      <c r="A177" s="28">
        <v>11959</v>
      </c>
      <c r="B177" t="s">
        <v>36</v>
      </c>
      <c r="C177" s="13" t="s">
        <v>107</v>
      </c>
      <c r="D177" t="s">
        <v>66</v>
      </c>
      <c r="E177">
        <v>17.5</v>
      </c>
      <c r="G177">
        <v>12.7</v>
      </c>
      <c r="H177">
        <f>Table1[[#This Row],[Total electrode weight (mg)]] - IF(ROW()&lt;40, Constants!$B$2 * PI()*(Table1[[#This Row],[Electrode Diameter(mm)]]/(10*2))^2, Constants!$B$4 * PI()*(Table1[[#This Row],[Electrode Diameter(mm)]]/(10*2))^2)</f>
        <v>13.445073398522275</v>
      </c>
      <c r="I177" s="12">
        <f t="shared" si="2"/>
        <v>11.428312388743933</v>
      </c>
      <c r="J177">
        <f>Table1[[#This Row],[Coating weight (mg)]]/Constants!$C$2</f>
        <v>10.613676689729896</v>
      </c>
      <c r="K177">
        <f>(Table1[[#This Row],[Coating weight (mg)]]/1000)/(((Table1[[#This Row],[Electrode Thickness(µm)]]-Constants!$E$4)*10^-4)*Constants!$C$4)</f>
        <v>-8.8447305747749123</v>
      </c>
    </row>
    <row r="178" spans="1:11" x14ac:dyDescent="0.35">
      <c r="A178" s="28">
        <v>11960</v>
      </c>
      <c r="B178" t="s">
        <v>37</v>
      </c>
      <c r="C178" s="13" t="s">
        <v>107</v>
      </c>
      <c r="D178" t="s">
        <v>66</v>
      </c>
      <c r="E178">
        <v>17</v>
      </c>
      <c r="G178">
        <v>12.7</v>
      </c>
      <c r="H178">
        <f>Table1[[#This Row],[Total electrode weight (mg)]] - IF(ROW()&lt;40, Constants!$B$2 * PI()*(Table1[[#This Row],[Electrode Diameter(mm)]]/(10*2))^2, Constants!$B$4 * PI()*(Table1[[#This Row],[Electrode Diameter(mm)]]/(10*2))^2)</f>
        <v>12.945073398522275</v>
      </c>
      <c r="I178" s="12">
        <f t="shared" si="2"/>
        <v>11.003312388743934</v>
      </c>
      <c r="J178">
        <f>Table1[[#This Row],[Coating weight (mg)]]/Constants!$C$2</f>
        <v>10.218971641451899</v>
      </c>
      <c r="K178">
        <f>(Table1[[#This Row],[Coating weight (mg)]]/1000)/(((Table1[[#This Row],[Electrode Thickness(µm)]]-Constants!$E$4)*10^-4)*Constants!$C$4)</f>
        <v>-8.5158097012099159</v>
      </c>
    </row>
    <row r="179" spans="1:11" x14ac:dyDescent="0.35">
      <c r="A179" s="28">
        <v>11961</v>
      </c>
      <c r="B179" t="s">
        <v>39</v>
      </c>
      <c r="C179" s="13" t="s">
        <v>107</v>
      </c>
      <c r="D179" t="s">
        <v>66</v>
      </c>
      <c r="E179">
        <v>15.8</v>
      </c>
      <c r="G179">
        <v>12.7</v>
      </c>
      <c r="H179">
        <f>Table1[[#This Row],[Total electrode weight (mg)]] - IF(ROW()&lt;40, Constants!$B$2 * PI()*(Table1[[#This Row],[Electrode Diameter(mm)]]/(10*2))^2, Constants!$B$4 * PI()*(Table1[[#This Row],[Electrode Diameter(mm)]]/(10*2))^2)</f>
        <v>11.745073398522276</v>
      </c>
      <c r="I179" s="12">
        <f t="shared" si="2"/>
        <v>9.9833123887439346</v>
      </c>
      <c r="J179">
        <f>Table1[[#This Row],[Coating weight (mg)]]/Constants!$C$2</f>
        <v>9.2716795255847071</v>
      </c>
      <c r="K179">
        <f>(Table1[[#This Row],[Coating weight (mg)]]/1000)/(((Table1[[#This Row],[Electrode Thickness(µm)]]-Constants!$E$4)*10^-4)*Constants!$C$4)</f>
        <v>-7.7263996046539214</v>
      </c>
    </row>
    <row r="180" spans="1:11" x14ac:dyDescent="0.35">
      <c r="A180" s="28">
        <v>11962</v>
      </c>
      <c r="B180" t="s">
        <v>18</v>
      </c>
      <c r="C180" s="13" t="s">
        <v>108</v>
      </c>
      <c r="D180" t="s">
        <v>66</v>
      </c>
      <c r="E180">
        <v>17</v>
      </c>
      <c r="G180">
        <v>12.7</v>
      </c>
      <c r="H180">
        <f>Table1[[#This Row],[Total electrode weight (mg)]] - IF(ROW()&lt;40, Constants!$B$2 * PI()*(Table1[[#This Row],[Electrode Diameter(mm)]]/(10*2))^2, Constants!$B$4 * PI()*(Table1[[#This Row],[Electrode Diameter(mm)]]/(10*2))^2)</f>
        <v>12.945073398522275</v>
      </c>
      <c r="I180" s="12">
        <f t="shared" si="2"/>
        <v>11.003312388743934</v>
      </c>
      <c r="J180">
        <f>Table1[[#This Row],[Coating weight (mg)]]/Constants!$C$2</f>
        <v>10.218971641451899</v>
      </c>
      <c r="K180">
        <f>(Table1[[#This Row],[Coating weight (mg)]]/1000)/(((Table1[[#This Row],[Electrode Thickness(µm)]]-Constants!$E$4)*10^-4)*Constants!$C$4)</f>
        <v>-8.5158097012099159</v>
      </c>
    </row>
    <row r="181" spans="1:11" x14ac:dyDescent="0.35">
      <c r="A181" s="28">
        <v>11963</v>
      </c>
      <c r="B181" t="s">
        <v>26</v>
      </c>
      <c r="C181" s="13" t="s">
        <v>108</v>
      </c>
      <c r="D181" t="s">
        <v>66</v>
      </c>
      <c r="E181">
        <v>17</v>
      </c>
      <c r="G181">
        <v>12.7</v>
      </c>
      <c r="H181">
        <f>Table1[[#This Row],[Total electrode weight (mg)]] - IF(ROW()&lt;40, Constants!$B$2 * PI()*(Table1[[#This Row],[Electrode Diameter(mm)]]/(10*2))^2, Constants!$B$4 * PI()*(Table1[[#This Row],[Electrode Diameter(mm)]]/(10*2))^2)</f>
        <v>12.945073398522275</v>
      </c>
      <c r="I181" s="12">
        <f t="shared" si="2"/>
        <v>11.003312388743934</v>
      </c>
      <c r="J181">
        <f>Table1[[#This Row],[Coating weight (mg)]]/Constants!$C$2</f>
        <v>10.218971641451899</v>
      </c>
      <c r="K181">
        <f>(Table1[[#This Row],[Coating weight (mg)]]/1000)/(((Table1[[#This Row],[Electrode Thickness(µm)]]-Constants!$E$4)*10^-4)*Constants!$C$4)</f>
        <v>-8.5158097012099159</v>
      </c>
    </row>
    <row r="182" spans="1:11" x14ac:dyDescent="0.35">
      <c r="A182" s="28">
        <v>11964</v>
      </c>
      <c r="B182" t="s">
        <v>27</v>
      </c>
      <c r="C182" s="13" t="s">
        <v>108</v>
      </c>
      <c r="D182" t="s">
        <v>66</v>
      </c>
      <c r="E182">
        <v>16.100000000000001</v>
      </c>
      <c r="G182">
        <v>12.7</v>
      </c>
      <c r="H182">
        <f>Table1[[#This Row],[Total electrode weight (mg)]] - IF(ROW()&lt;40, Constants!$B$2 * PI()*(Table1[[#This Row],[Electrode Diameter(mm)]]/(10*2))^2, Constants!$B$4 * PI()*(Table1[[#This Row],[Electrode Diameter(mm)]]/(10*2))^2)</f>
        <v>12.045073398522277</v>
      </c>
      <c r="I182" s="12">
        <f t="shared" si="2"/>
        <v>10.238312388743935</v>
      </c>
      <c r="J182">
        <f>Table1[[#This Row],[Coating weight (mg)]]/Constants!$C$2</f>
        <v>9.5085025545515069</v>
      </c>
      <c r="K182">
        <f>(Table1[[#This Row],[Coating weight (mg)]]/1000)/(((Table1[[#This Row],[Electrode Thickness(µm)]]-Constants!$E$4)*10^-4)*Constants!$C$4)</f>
        <v>-7.9237521287929216</v>
      </c>
    </row>
    <row r="183" spans="1:11" x14ac:dyDescent="0.35">
      <c r="A183" s="28">
        <v>11965</v>
      </c>
      <c r="B183" t="s">
        <v>28</v>
      </c>
      <c r="C183" s="13" t="s">
        <v>108</v>
      </c>
      <c r="D183" t="s">
        <v>66</v>
      </c>
      <c r="E183">
        <v>16.5</v>
      </c>
      <c r="G183">
        <v>12.7</v>
      </c>
      <c r="H183">
        <f>Table1[[#This Row],[Total electrode weight (mg)]] - IF(ROW()&lt;40, Constants!$B$2 * PI()*(Table1[[#This Row],[Electrode Diameter(mm)]]/(10*2))^2, Constants!$B$4 * PI()*(Table1[[#This Row],[Electrode Diameter(mm)]]/(10*2))^2)</f>
        <v>12.445073398522275</v>
      </c>
      <c r="I183" s="12">
        <f t="shared" si="2"/>
        <v>10.578312388743933</v>
      </c>
      <c r="J183">
        <f>Table1[[#This Row],[Coating weight (mg)]]/Constants!$C$2</f>
        <v>9.8242665931739026</v>
      </c>
      <c r="K183">
        <f>(Table1[[#This Row],[Coating weight (mg)]]/1000)/(((Table1[[#This Row],[Electrode Thickness(µm)]]-Constants!$E$4)*10^-4)*Constants!$C$4)</f>
        <v>-8.1868888276449177</v>
      </c>
    </row>
    <row r="184" spans="1:11" x14ac:dyDescent="0.35">
      <c r="A184" s="28">
        <v>11966</v>
      </c>
      <c r="B184" t="s">
        <v>82</v>
      </c>
      <c r="C184" s="13" t="s">
        <v>108</v>
      </c>
      <c r="D184" t="s">
        <v>66</v>
      </c>
      <c r="E184">
        <v>16.2</v>
      </c>
      <c r="G184">
        <v>12.7</v>
      </c>
      <c r="H184">
        <f>Table1[[#This Row],[Total electrode weight (mg)]] - IF(ROW()&lt;40, Constants!$B$2 * PI()*(Table1[[#This Row],[Electrode Diameter(mm)]]/(10*2))^2, Constants!$B$4 * PI()*(Table1[[#This Row],[Electrode Diameter(mm)]]/(10*2))^2)</f>
        <v>12.145073398522275</v>
      </c>
      <c r="I184" s="12">
        <f t="shared" si="2"/>
        <v>10.323312388743933</v>
      </c>
      <c r="J184">
        <f>Table1[[#This Row],[Coating weight (mg)]]/Constants!$C$2</f>
        <v>9.5874435642071045</v>
      </c>
      <c r="K184">
        <f>(Table1[[#This Row],[Coating weight (mg)]]/1000)/(((Table1[[#This Row],[Electrode Thickness(µm)]]-Constants!$E$4)*10^-4)*Constants!$C$4)</f>
        <v>-7.9895363035059193</v>
      </c>
    </row>
    <row r="185" spans="1:11" x14ac:dyDescent="0.35">
      <c r="A185" s="28">
        <v>11967</v>
      </c>
      <c r="C185" s="13" t="s">
        <v>109</v>
      </c>
      <c r="D185" t="s">
        <v>15</v>
      </c>
      <c r="E185">
        <v>19.600000000000001</v>
      </c>
      <c r="F185">
        <v>101</v>
      </c>
      <c r="G185">
        <v>12.7</v>
      </c>
      <c r="H185">
        <f>Table1[[#This Row],[Total electrode weight (mg)]] - IF(ROW()&lt;40, Constants!$B$2 * PI()*(Table1[[#This Row],[Electrode Diameter(mm)]]/(10*2))^2, Constants!$B$4 * PI()*(Table1[[#This Row],[Electrode Diameter(mm)]]/(10*2))^2)</f>
        <v>15.545073398522277</v>
      </c>
      <c r="I185" s="12">
        <f t="shared" si="2"/>
        <v>14.456918260625718</v>
      </c>
      <c r="J185">
        <f>Table1[[#This Row],[Coating weight (mg)]]/Constants!$C$2</f>
        <v>12.271437892497486</v>
      </c>
      <c r="K185">
        <f>(Table1[[#This Row],[Coating weight (mg)]]/1000)/(((Table1[[#This Row],[Electrode Thickness(µm)]]-Constants!$E$4)*10^-4)*Constants!$C$4)</f>
        <v>1.3788132463480323</v>
      </c>
    </row>
    <row r="186" spans="1:11" x14ac:dyDescent="0.35">
      <c r="A186" s="28">
        <v>11968</v>
      </c>
      <c r="C186" s="13" t="s">
        <v>109</v>
      </c>
      <c r="D186" t="s">
        <v>15</v>
      </c>
      <c r="E186">
        <v>19.7</v>
      </c>
      <c r="F186">
        <v>102</v>
      </c>
      <c r="G186">
        <v>12.7</v>
      </c>
      <c r="H186">
        <f>Table1[[#This Row],[Total electrode weight (mg)]] - IF(ROW()&lt;40, Constants!$B$2 * PI()*(Table1[[#This Row],[Electrode Diameter(mm)]]/(10*2))^2, Constants!$B$4 * PI()*(Table1[[#This Row],[Electrode Diameter(mm)]]/(10*2))^2)</f>
        <v>15.645073398522275</v>
      </c>
      <c r="I186" s="12">
        <f t="shared" si="2"/>
        <v>14.549918260625716</v>
      </c>
      <c r="J186">
        <f>Table1[[#This Row],[Coating weight (mg)]]/Constants!$C$2</f>
        <v>12.350378902153084</v>
      </c>
      <c r="K186">
        <f>(Table1[[#This Row],[Coating weight (mg)]]/1000)/(((Table1[[#This Row],[Electrode Thickness(µm)]]-Constants!$E$4)*10^-4)*Constants!$C$4)</f>
        <v>1.3722643224614532</v>
      </c>
    </row>
    <row r="187" spans="1:11" x14ac:dyDescent="0.35">
      <c r="A187" s="28">
        <v>11969</v>
      </c>
      <c r="C187" s="13" t="s">
        <v>109</v>
      </c>
      <c r="D187" t="s">
        <v>15</v>
      </c>
      <c r="E187">
        <v>20.100000000000001</v>
      </c>
      <c r="F187">
        <v>102</v>
      </c>
      <c r="G187">
        <v>12.7</v>
      </c>
      <c r="H187">
        <f>Table1[[#This Row],[Total electrode weight (mg)]] - IF(ROW()&lt;40, Constants!$B$2 * PI()*(Table1[[#This Row],[Electrode Diameter(mm)]]/(10*2))^2, Constants!$B$4 * PI()*(Table1[[#This Row],[Electrode Diameter(mm)]]/(10*2))^2)</f>
        <v>16.045073398522277</v>
      </c>
      <c r="I187" s="12">
        <f t="shared" si="2"/>
        <v>14.921918260625718</v>
      </c>
      <c r="J187">
        <f>Table1[[#This Row],[Coating weight (mg)]]/Constants!$C$2</f>
        <v>12.666142940775483</v>
      </c>
      <c r="K187">
        <f>(Table1[[#This Row],[Coating weight (mg)]]/1000)/(((Table1[[#This Row],[Electrode Thickness(µm)]]-Constants!$E$4)*10^-4)*Constants!$C$4)</f>
        <v>1.4073492156417202</v>
      </c>
    </row>
    <row r="188" spans="1:11" x14ac:dyDescent="0.35">
      <c r="A188" s="28">
        <v>11970</v>
      </c>
      <c r="C188" s="13" t="s">
        <v>110</v>
      </c>
      <c r="D188" t="s">
        <v>15</v>
      </c>
      <c r="E188">
        <v>19.7</v>
      </c>
      <c r="F188">
        <v>95</v>
      </c>
      <c r="G188">
        <v>12.7</v>
      </c>
      <c r="H188">
        <f>Table1[[#This Row],[Total electrode weight (mg)]] - IF(ROW()&lt;40, Constants!$B$2 * PI()*(Table1[[#This Row],[Electrode Diameter(mm)]]/(10*2))^2, Constants!$B$4 * PI()*(Table1[[#This Row],[Electrode Diameter(mm)]]/(10*2))^2)</f>
        <v>15.645073398522275</v>
      </c>
      <c r="I188" s="12">
        <f t="shared" si="2"/>
        <v>14.549918260625716</v>
      </c>
      <c r="J188">
        <f>Table1[[#This Row],[Coating weight (mg)]]/Constants!$C$2</f>
        <v>12.350378902153084</v>
      </c>
      <c r="K188">
        <f>(Table1[[#This Row],[Coating weight (mg)]]/1000)/(((Table1[[#This Row],[Electrode Thickness(µm)]]-Constants!$E$4)*10^-4)*Constants!$C$4)</f>
        <v>1.4879974580907327</v>
      </c>
    </row>
    <row r="189" spans="1:11" x14ac:dyDescent="0.35">
      <c r="A189" s="28">
        <v>11971</v>
      </c>
      <c r="C189" s="13" t="s">
        <v>110</v>
      </c>
      <c r="D189" t="s">
        <v>15</v>
      </c>
      <c r="E189">
        <v>21</v>
      </c>
      <c r="F189">
        <v>103</v>
      </c>
      <c r="G189">
        <v>12.7</v>
      </c>
      <c r="H189">
        <f>Table1[[#This Row],[Total electrode weight (mg)]] - IF(ROW()&lt;40, Constants!$B$2 * PI()*(Table1[[#This Row],[Electrode Diameter(mm)]]/(10*2))^2, Constants!$B$4 * PI()*(Table1[[#This Row],[Electrode Diameter(mm)]]/(10*2))^2)</f>
        <v>16.945073398522275</v>
      </c>
      <c r="I189" s="12">
        <f t="shared" si="2"/>
        <v>15.758918260625718</v>
      </c>
      <c r="J189">
        <f>Table1[[#This Row],[Coating weight (mg)]]/Constants!$C$2</f>
        <v>13.376612027675876</v>
      </c>
      <c r="K189">
        <f>(Table1[[#This Row],[Coating weight (mg)]]/1000)/(((Table1[[#This Row],[Electrode Thickness(µm)]]-Constants!$E$4)*10^-4)*Constants!$C$4)</f>
        <v>1.4699573656786675</v>
      </c>
    </row>
    <row r="190" spans="1:11" x14ac:dyDescent="0.35">
      <c r="A190" s="28">
        <v>11972</v>
      </c>
      <c r="C190" s="13" t="s">
        <v>110</v>
      </c>
      <c r="D190" t="s">
        <v>15</v>
      </c>
      <c r="E190">
        <v>19.399999999999999</v>
      </c>
      <c r="F190">
        <v>96</v>
      </c>
      <c r="G190">
        <v>12.7</v>
      </c>
      <c r="H190">
        <f>Table1[[#This Row],[Total electrode weight (mg)]] - IF(ROW()&lt;40, Constants!$B$2 * PI()*(Table1[[#This Row],[Electrode Diameter(mm)]]/(10*2))^2, Constants!$B$4 * PI()*(Table1[[#This Row],[Electrode Diameter(mm)]]/(10*2))^2)</f>
        <v>15.345073398522274</v>
      </c>
      <c r="I190" s="12">
        <f t="shared" si="2"/>
        <v>14.270918260625715</v>
      </c>
      <c r="J190">
        <f>Table1[[#This Row],[Coating weight (mg)]]/Constants!$C$2</f>
        <v>12.113555873186284</v>
      </c>
      <c r="K190">
        <f>(Table1[[#This Row],[Coating weight (mg)]]/1000)/(((Table1[[#This Row],[Electrode Thickness(µm)]]-Constants!$E$4)*10^-4)*Constants!$C$4)</f>
        <v>1.4420899849031288</v>
      </c>
    </row>
    <row r="191" spans="1:11" x14ac:dyDescent="0.35">
      <c r="A191" s="28">
        <v>11973</v>
      </c>
      <c r="C191" s="13" t="s">
        <v>110</v>
      </c>
      <c r="D191" t="s">
        <v>15</v>
      </c>
      <c r="E191">
        <v>21</v>
      </c>
      <c r="F191">
        <v>95</v>
      </c>
      <c r="G191">
        <v>12.7</v>
      </c>
      <c r="H191">
        <f>Table1[[#This Row],[Total electrode weight (mg)]] - IF(ROW()&lt;40, Constants!$B$2 * PI()*(Table1[[#This Row],[Electrode Diameter(mm)]]/(10*2))^2, Constants!$B$4 * PI()*(Table1[[#This Row],[Electrode Diameter(mm)]]/(10*2))^2)</f>
        <v>16.945073398522275</v>
      </c>
      <c r="I191" s="12">
        <f t="shared" si="2"/>
        <v>15.758918260625718</v>
      </c>
      <c r="J191">
        <f>Table1[[#This Row],[Coating weight (mg)]]/Constants!$C$2</f>
        <v>13.376612027675876</v>
      </c>
      <c r="K191">
        <f>(Table1[[#This Row],[Coating weight (mg)]]/1000)/(((Table1[[#This Row],[Electrode Thickness(µm)]]-Constants!$E$4)*10^-4)*Constants!$C$4)</f>
        <v>1.6116400033344429</v>
      </c>
    </row>
    <row r="192" spans="1:11" x14ac:dyDescent="0.35">
      <c r="A192" s="28">
        <v>11974</v>
      </c>
      <c r="C192" s="13" t="s">
        <v>111</v>
      </c>
      <c r="D192" t="s">
        <v>15</v>
      </c>
      <c r="E192">
        <v>24.6</v>
      </c>
      <c r="G192">
        <v>13</v>
      </c>
      <c r="H192">
        <f>Table1[[#This Row],[Total electrode weight (mg)]] - IF(ROW()&lt;40, Constants!$B$2 * PI()*(Table1[[#This Row],[Electrode Diameter(mm)]]/(10*2))^2, Constants!$B$4 * PI()*(Table1[[#This Row],[Electrode Diameter(mm)]]/(10*2))^2)</f>
        <v>20.351239409450457</v>
      </c>
      <c r="I192" s="12">
        <f t="shared" si="2"/>
        <v>18.926652650788927</v>
      </c>
      <c r="J192">
        <f>Table1[[#This Row],[Coating weight (mg)]]/Constants!$C$2</f>
        <v>16.065473867248436</v>
      </c>
      <c r="K192">
        <f>(Table1[[#This Row],[Coating weight (mg)]]/1000)/(((Table1[[#This Row],[Electrode Thickness(µm)]]-Constants!$E$4)*10^-4)*Constants!$C$4)</f>
        <v>-13.387894889373696</v>
      </c>
    </row>
    <row r="193" spans="1:11" x14ac:dyDescent="0.35">
      <c r="A193" s="28">
        <v>11975</v>
      </c>
      <c r="C193" s="13" t="s">
        <v>111</v>
      </c>
      <c r="D193" t="s">
        <v>15</v>
      </c>
      <c r="E193">
        <v>24.7</v>
      </c>
      <c r="G193">
        <v>13</v>
      </c>
      <c r="H193">
        <f>Table1[[#This Row],[Total electrode weight (mg)]] - IF(ROW()&lt;40, Constants!$B$2 * PI()*(Table1[[#This Row],[Electrode Diameter(mm)]]/(10*2))^2, Constants!$B$4 * PI()*(Table1[[#This Row],[Electrode Diameter(mm)]]/(10*2))^2)</f>
        <v>20.451239409450459</v>
      </c>
      <c r="I193" s="12">
        <f t="shared" si="2"/>
        <v>19.019652650788927</v>
      </c>
      <c r="J193">
        <f>Table1[[#This Row],[Coating weight (mg)]]/Constants!$C$2</f>
        <v>16.144414876904037</v>
      </c>
      <c r="K193">
        <f>(Table1[[#This Row],[Coating weight (mg)]]/1000)/(((Table1[[#This Row],[Electrode Thickness(µm)]]-Constants!$E$4)*10^-4)*Constants!$C$4)</f>
        <v>-13.453679064086696</v>
      </c>
    </row>
    <row r="194" spans="1:11" x14ac:dyDescent="0.35">
      <c r="A194" s="28">
        <v>11976</v>
      </c>
      <c r="C194" s="13" t="s">
        <v>111</v>
      </c>
      <c r="D194" t="s">
        <v>15</v>
      </c>
      <c r="E194">
        <v>24.6</v>
      </c>
      <c r="G194">
        <v>13</v>
      </c>
      <c r="H194">
        <f>Table1[[#This Row],[Total electrode weight (mg)]] - IF(ROW()&lt;40, Constants!$B$2 * PI()*(Table1[[#This Row],[Electrode Diameter(mm)]]/(10*2))^2, Constants!$B$4 * PI()*(Table1[[#This Row],[Electrode Diameter(mm)]]/(10*2))^2)</f>
        <v>20.351239409450457</v>
      </c>
      <c r="I194" s="12">
        <f t="shared" si="2"/>
        <v>18.926652650788927</v>
      </c>
      <c r="J194">
        <f>Table1[[#This Row],[Coating weight (mg)]]/Constants!$C$2</f>
        <v>16.065473867248436</v>
      </c>
      <c r="K194">
        <f>(Table1[[#This Row],[Coating weight (mg)]]/1000)/(((Table1[[#This Row],[Electrode Thickness(µm)]]-Constants!$E$4)*10^-4)*Constants!$C$4)</f>
        <v>-13.387894889373696</v>
      </c>
    </row>
    <row r="195" spans="1:11" x14ac:dyDescent="0.35">
      <c r="A195" s="28">
        <v>11988</v>
      </c>
      <c r="C195" s="13" t="s">
        <v>112</v>
      </c>
      <c r="D195" t="s">
        <v>15</v>
      </c>
      <c r="E195">
        <v>22.6</v>
      </c>
      <c r="G195">
        <v>12.7</v>
      </c>
      <c r="H195">
        <f>Table1[[#This Row],[Total electrode weight (mg)]] - IF(ROW()&lt;40, Constants!$B$2 * PI()*(Table1[[#This Row],[Electrode Diameter(mm)]]/(10*2))^2, Constants!$B$4 * PI()*(Table1[[#This Row],[Electrode Diameter(mm)]]/(10*2))^2)</f>
        <v>18.545073398522277</v>
      </c>
      <c r="I195" s="12">
        <f t="shared" ref="I195:I258" si="3">IF(D195="", "", IF(D195="RnD", H195*0.85, IF(D195="Production", H195*0.93, "Invalid")))</f>
        <v>17.246918260625719</v>
      </c>
      <c r="J195">
        <f>Table1[[#This Row],[Coating weight (mg)]]/Constants!$C$2</f>
        <v>14.639668182165467</v>
      </c>
      <c r="K195">
        <f>(Table1[[#This Row],[Coating weight (mg)]]/1000)/(((Table1[[#This Row],[Electrode Thickness(µm)]]-Constants!$E$4)*10^-4)*Constants!$C$4)</f>
        <v>-12.199723485137888</v>
      </c>
    </row>
    <row r="196" spans="1:11" x14ac:dyDescent="0.35">
      <c r="A196" s="28">
        <v>11989</v>
      </c>
      <c r="C196" s="13" t="s">
        <v>112</v>
      </c>
      <c r="D196" t="s">
        <v>15</v>
      </c>
      <c r="E196">
        <v>22.1</v>
      </c>
      <c r="G196">
        <v>12.7</v>
      </c>
      <c r="H196">
        <f>Table1[[#This Row],[Total electrode weight (mg)]] - IF(ROW()&lt;40, Constants!$B$2 * PI()*(Table1[[#This Row],[Electrode Diameter(mm)]]/(10*2))^2, Constants!$B$4 * PI()*(Table1[[#This Row],[Electrode Diameter(mm)]]/(10*2))^2)</f>
        <v>18.045073398522277</v>
      </c>
      <c r="I196" s="12">
        <f t="shared" si="3"/>
        <v>16.781918260625719</v>
      </c>
      <c r="J196">
        <f>Table1[[#This Row],[Coating weight (mg)]]/Constants!$C$2</f>
        <v>14.24496313388747</v>
      </c>
      <c r="K196">
        <f>(Table1[[#This Row],[Coating weight (mg)]]/1000)/(((Table1[[#This Row],[Electrode Thickness(µm)]]-Constants!$E$4)*10^-4)*Constants!$C$4)</f>
        <v>-11.87080261157289</v>
      </c>
    </row>
    <row r="197" spans="1:11" x14ac:dyDescent="0.35">
      <c r="A197" s="28">
        <v>11990</v>
      </c>
      <c r="C197" s="13" t="s">
        <v>112</v>
      </c>
      <c r="D197" t="s">
        <v>15</v>
      </c>
      <c r="E197">
        <v>21.6</v>
      </c>
      <c r="G197">
        <v>12.7</v>
      </c>
      <c r="H197">
        <f>Table1[[#This Row],[Total electrode weight (mg)]] - IF(ROW()&lt;40, Constants!$B$2 * PI()*(Table1[[#This Row],[Electrode Diameter(mm)]]/(10*2))^2, Constants!$B$4 * PI()*(Table1[[#This Row],[Electrode Diameter(mm)]]/(10*2))^2)</f>
        <v>17.545073398522277</v>
      </c>
      <c r="I197" s="12">
        <f t="shared" si="3"/>
        <v>16.316918260625719</v>
      </c>
      <c r="J197">
        <f>Table1[[#This Row],[Coating weight (mg)]]/Constants!$C$2</f>
        <v>13.850258085609473</v>
      </c>
      <c r="K197">
        <f>(Table1[[#This Row],[Coating weight (mg)]]/1000)/(((Table1[[#This Row],[Electrode Thickness(µm)]]-Constants!$E$4)*10^-4)*Constants!$C$4)</f>
        <v>-11.541881738007893</v>
      </c>
    </row>
    <row r="198" spans="1:11" x14ac:dyDescent="0.35">
      <c r="A198" s="28">
        <v>11991</v>
      </c>
      <c r="C198" s="13" t="s">
        <v>112</v>
      </c>
      <c r="D198" t="s">
        <v>15</v>
      </c>
      <c r="E198">
        <v>23.3</v>
      </c>
      <c r="G198">
        <v>12.7</v>
      </c>
      <c r="H198">
        <f>Table1[[#This Row],[Total electrode weight (mg)]] - IF(ROW()&lt;40, Constants!$B$2 * PI()*(Table1[[#This Row],[Electrode Diameter(mm)]]/(10*2))^2, Constants!$B$4 * PI()*(Table1[[#This Row],[Electrode Diameter(mm)]]/(10*2))^2)</f>
        <v>19.245073398522276</v>
      </c>
      <c r="I198" s="12">
        <f t="shared" si="3"/>
        <v>17.897918260625719</v>
      </c>
      <c r="J198">
        <f>Table1[[#This Row],[Coating weight (mg)]]/Constants!$C$2</f>
        <v>15.192255249754663</v>
      </c>
      <c r="K198">
        <f>(Table1[[#This Row],[Coating weight (mg)]]/1000)/(((Table1[[#This Row],[Electrode Thickness(µm)]]-Constants!$E$4)*10^-4)*Constants!$C$4)</f>
        <v>-12.660212708128883</v>
      </c>
    </row>
    <row r="199" spans="1:11" x14ac:dyDescent="0.35">
      <c r="A199" s="28">
        <v>11992</v>
      </c>
      <c r="C199" s="13" t="s">
        <v>112</v>
      </c>
      <c r="D199" t="s">
        <v>15</v>
      </c>
      <c r="E199">
        <v>22.9</v>
      </c>
      <c r="G199">
        <v>12.7</v>
      </c>
      <c r="H199">
        <f>Table1[[#This Row],[Total electrode weight (mg)]] - IF(ROW()&lt;40, Constants!$B$2 * PI()*(Table1[[#This Row],[Electrode Diameter(mm)]]/(10*2))^2, Constants!$B$4 * PI()*(Table1[[#This Row],[Electrode Diameter(mm)]]/(10*2))^2)</f>
        <v>18.845073398522274</v>
      </c>
      <c r="I199" s="12">
        <f t="shared" si="3"/>
        <v>17.525918260625716</v>
      </c>
      <c r="J199">
        <f>Table1[[#This Row],[Coating weight (mg)]]/Constants!$C$2</f>
        <v>14.876491211132263</v>
      </c>
      <c r="K199">
        <f>(Table1[[#This Row],[Coating weight (mg)]]/1000)/(((Table1[[#This Row],[Electrode Thickness(µm)]]-Constants!$E$4)*10^-4)*Constants!$C$4)</f>
        <v>-12.397076009276885</v>
      </c>
    </row>
    <row r="200" spans="1:11" x14ac:dyDescent="0.35">
      <c r="A200" s="28">
        <v>11993</v>
      </c>
      <c r="B200" s="17" t="s">
        <v>32</v>
      </c>
      <c r="C200" s="13" t="s">
        <v>113</v>
      </c>
      <c r="D200" t="s">
        <v>15</v>
      </c>
      <c r="E200">
        <v>23.7</v>
      </c>
      <c r="F200">
        <v>104</v>
      </c>
      <c r="G200">
        <v>12.7</v>
      </c>
      <c r="H200">
        <f>Table1[[#This Row],[Total electrode weight (mg)]] - IF(ROW()&lt;40, Constants!$B$2 * PI()*(Table1[[#This Row],[Electrode Diameter(mm)]]/(10*2))^2, Constants!$B$4 * PI()*(Table1[[#This Row],[Electrode Diameter(mm)]]/(10*2))^2)</f>
        <v>19.645073398522275</v>
      </c>
      <c r="I200" s="12">
        <f t="shared" si="3"/>
        <v>18.269918260625715</v>
      </c>
      <c r="J200">
        <f>Table1[[#This Row],[Coating weight (mg)]]/Constants!$C$2</f>
        <v>15.50801928837706</v>
      </c>
      <c r="K200">
        <f>(Table1[[#This Row],[Coating weight (mg)]]/1000)/(((Table1[[#This Row],[Electrode Thickness(µm)]]-Constants!$E$4)*10^-4)*Constants!$C$4)</f>
        <v>1.6856542704757673</v>
      </c>
    </row>
    <row r="201" spans="1:11" x14ac:dyDescent="0.35">
      <c r="A201" s="28">
        <v>11994</v>
      </c>
      <c r="B201" s="17" t="s">
        <v>34</v>
      </c>
      <c r="C201" s="13" t="s">
        <v>113</v>
      </c>
      <c r="D201" t="s">
        <v>15</v>
      </c>
      <c r="E201">
        <v>24</v>
      </c>
      <c r="F201">
        <v>104</v>
      </c>
      <c r="G201">
        <v>12.7</v>
      </c>
      <c r="H201">
        <f>Table1[[#This Row],[Total electrode weight (mg)]] - IF(ROW()&lt;40, Constants!$B$2 * PI()*(Table1[[#This Row],[Electrode Diameter(mm)]]/(10*2))^2, Constants!$B$4 * PI()*(Table1[[#This Row],[Electrode Diameter(mm)]]/(10*2))^2)</f>
        <v>19.945073398522275</v>
      </c>
      <c r="I201" s="12">
        <f t="shared" si="3"/>
        <v>18.548918260625719</v>
      </c>
      <c r="J201">
        <f>Table1[[#This Row],[Coating weight (mg)]]/Constants!$C$2</f>
        <v>15.744842317343858</v>
      </c>
      <c r="K201">
        <f>(Table1[[#This Row],[Coating weight (mg)]]/1000)/(((Table1[[#This Row],[Electrode Thickness(µm)]]-Constants!$E$4)*10^-4)*Constants!$C$4)</f>
        <v>1.7113959040591151</v>
      </c>
    </row>
    <row r="202" spans="1:11" x14ac:dyDescent="0.35">
      <c r="A202" s="28">
        <v>11995</v>
      </c>
      <c r="B202" s="17" t="s">
        <v>35</v>
      </c>
      <c r="C202" s="13" t="s">
        <v>113</v>
      </c>
      <c r="D202" t="s">
        <v>15</v>
      </c>
      <c r="E202">
        <v>23</v>
      </c>
      <c r="F202">
        <v>104</v>
      </c>
      <c r="G202">
        <v>12.7</v>
      </c>
      <c r="H202">
        <f>Table1[[#This Row],[Total electrode weight (mg)]] - IF(ROW()&lt;40, Constants!$B$2 * PI()*(Table1[[#This Row],[Electrode Diameter(mm)]]/(10*2))^2, Constants!$B$4 * PI()*(Table1[[#This Row],[Electrode Diameter(mm)]]/(10*2))^2)</f>
        <v>18.945073398522275</v>
      </c>
      <c r="I202" s="12">
        <f t="shared" si="3"/>
        <v>17.618918260625716</v>
      </c>
      <c r="J202">
        <f>Table1[[#This Row],[Coating weight (mg)]]/Constants!$C$2</f>
        <v>14.955432220787864</v>
      </c>
      <c r="K202">
        <f>(Table1[[#This Row],[Coating weight (mg)]]/1000)/(((Table1[[#This Row],[Electrode Thickness(µm)]]-Constants!$E$4)*10^-4)*Constants!$C$4)</f>
        <v>1.6255904587812895</v>
      </c>
    </row>
    <row r="203" spans="1:11" x14ac:dyDescent="0.35">
      <c r="A203" s="28">
        <v>11996</v>
      </c>
      <c r="B203" s="17" t="s">
        <v>36</v>
      </c>
      <c r="C203" s="13" t="s">
        <v>113</v>
      </c>
      <c r="D203" t="s">
        <v>15</v>
      </c>
      <c r="E203">
        <v>22.6</v>
      </c>
      <c r="F203">
        <v>104</v>
      </c>
      <c r="G203">
        <v>12.7</v>
      </c>
      <c r="H203">
        <f>Table1[[#This Row],[Total electrode weight (mg)]] - IF(ROW()&lt;40, Constants!$B$2 * PI()*(Table1[[#This Row],[Electrode Diameter(mm)]]/(10*2))^2, Constants!$B$4 * PI()*(Table1[[#This Row],[Electrode Diameter(mm)]]/(10*2))^2)</f>
        <v>18.545073398522277</v>
      </c>
      <c r="I203" s="12">
        <f t="shared" si="3"/>
        <v>17.246918260625719</v>
      </c>
      <c r="J203">
        <f>Table1[[#This Row],[Coating weight (mg)]]/Constants!$C$2</f>
        <v>14.639668182165467</v>
      </c>
      <c r="K203">
        <f>(Table1[[#This Row],[Coating weight (mg)]]/1000)/(((Table1[[#This Row],[Electrode Thickness(µm)]]-Constants!$E$4)*10^-4)*Constants!$C$4)</f>
        <v>1.5912682806701595</v>
      </c>
    </row>
    <row r="204" spans="1:11" x14ac:dyDescent="0.35">
      <c r="A204" s="28">
        <v>11997</v>
      </c>
      <c r="B204" s="17" t="s">
        <v>37</v>
      </c>
      <c r="C204" s="13" t="s">
        <v>113</v>
      </c>
      <c r="D204" t="s">
        <v>15</v>
      </c>
      <c r="E204">
        <v>22.6</v>
      </c>
      <c r="F204">
        <v>104</v>
      </c>
      <c r="G204">
        <v>12.7</v>
      </c>
      <c r="H204">
        <f>Table1[[#This Row],[Total electrode weight (mg)]] - IF(ROW()&lt;40, Constants!$B$2 * PI()*(Table1[[#This Row],[Electrode Diameter(mm)]]/(10*2))^2, Constants!$B$4 * PI()*(Table1[[#This Row],[Electrode Diameter(mm)]]/(10*2))^2)</f>
        <v>18.545073398522277</v>
      </c>
      <c r="I204" s="12">
        <f t="shared" si="3"/>
        <v>17.246918260625719</v>
      </c>
      <c r="J204">
        <f>Table1[[#This Row],[Coating weight (mg)]]/Constants!$C$2</f>
        <v>14.639668182165467</v>
      </c>
      <c r="K204">
        <f>(Table1[[#This Row],[Coating weight (mg)]]/1000)/(((Table1[[#This Row],[Electrode Thickness(µm)]]-Constants!$E$4)*10^-4)*Constants!$C$4)</f>
        <v>1.5912682806701595</v>
      </c>
    </row>
    <row r="205" spans="1:11" x14ac:dyDescent="0.35">
      <c r="A205" s="28">
        <v>11998</v>
      </c>
      <c r="B205" s="17" t="s">
        <v>39</v>
      </c>
      <c r="C205" s="13" t="s">
        <v>114</v>
      </c>
      <c r="D205" t="s">
        <v>15</v>
      </c>
      <c r="E205">
        <v>18.600000000000001</v>
      </c>
      <c r="G205">
        <v>12.7</v>
      </c>
      <c r="H205">
        <f>Table1[[#This Row],[Total electrode weight (mg)]] - IF(ROW()&lt;40, Constants!$B$2 * PI()*(Table1[[#This Row],[Electrode Diameter(mm)]]/(10*2))^2, Constants!$B$4 * PI()*(Table1[[#This Row],[Electrode Diameter(mm)]]/(10*2))^2)</f>
        <v>14.545073398522277</v>
      </c>
      <c r="I205" s="12">
        <f t="shared" si="3"/>
        <v>13.526918260625719</v>
      </c>
      <c r="J205">
        <f>Table1[[#This Row],[Coating weight (mg)]]/Constants!$C$2</f>
        <v>11.482027795941491</v>
      </c>
      <c r="K205">
        <f>(Table1[[#This Row],[Coating weight (mg)]]/1000)/(((Table1[[#This Row],[Electrode Thickness(µm)]]-Constants!$E$4)*10^-4)*Constants!$C$4)</f>
        <v>-9.5683564966179073</v>
      </c>
    </row>
    <row r="206" spans="1:11" x14ac:dyDescent="0.35">
      <c r="A206" s="28">
        <v>11999</v>
      </c>
      <c r="B206" s="17" t="s">
        <v>40</v>
      </c>
      <c r="C206" s="13" t="s">
        <v>114</v>
      </c>
      <c r="D206" t="s">
        <v>15</v>
      </c>
      <c r="E206">
        <v>17.600000000000001</v>
      </c>
      <c r="G206">
        <v>12.7</v>
      </c>
      <c r="H206">
        <f>Table1[[#This Row],[Total electrode weight (mg)]] - IF(ROW()&lt;40, Constants!$B$2 * PI()*(Table1[[#This Row],[Electrode Diameter(mm)]]/(10*2))^2, Constants!$B$4 * PI()*(Table1[[#This Row],[Electrode Diameter(mm)]]/(10*2))^2)</f>
        <v>13.545073398522277</v>
      </c>
      <c r="I206" s="12">
        <f t="shared" si="3"/>
        <v>12.596918260625719</v>
      </c>
      <c r="J206">
        <f>Table1[[#This Row],[Coating weight (mg)]]/Constants!$C$2</f>
        <v>10.692617699385497</v>
      </c>
      <c r="K206">
        <f>(Table1[[#This Row],[Coating weight (mg)]]/1000)/(((Table1[[#This Row],[Electrode Thickness(µm)]]-Constants!$E$4)*10^-4)*Constants!$C$4)</f>
        <v>-8.9105147494879127</v>
      </c>
    </row>
    <row r="207" spans="1:11" x14ac:dyDescent="0.35">
      <c r="A207" s="28">
        <v>12000</v>
      </c>
      <c r="B207" s="17" t="s">
        <v>41</v>
      </c>
      <c r="C207" s="13" t="s">
        <v>114</v>
      </c>
      <c r="D207" t="s">
        <v>15</v>
      </c>
      <c r="E207">
        <v>17.8</v>
      </c>
      <c r="G207">
        <v>12.7</v>
      </c>
      <c r="H207">
        <f>Table1[[#This Row],[Total electrode weight (mg)]] - IF(ROW()&lt;40, Constants!$B$2 * PI()*(Table1[[#This Row],[Electrode Diameter(mm)]]/(10*2))^2, Constants!$B$4 * PI()*(Table1[[#This Row],[Electrode Diameter(mm)]]/(10*2))^2)</f>
        <v>13.745073398522276</v>
      </c>
      <c r="I207" s="12">
        <f t="shared" si="3"/>
        <v>12.782918260625717</v>
      </c>
      <c r="J207">
        <f>Table1[[#This Row],[Coating weight (mg)]]/Constants!$C$2</f>
        <v>10.850499718696696</v>
      </c>
      <c r="K207">
        <f>(Table1[[#This Row],[Coating weight (mg)]]/1000)/(((Table1[[#This Row],[Electrode Thickness(µm)]]-Constants!$E$4)*10^-4)*Constants!$C$4)</f>
        <v>-9.0420830989139116</v>
      </c>
    </row>
    <row r="208" spans="1:11" x14ac:dyDescent="0.35">
      <c r="A208" s="28">
        <v>12001</v>
      </c>
      <c r="B208" t="s">
        <v>18</v>
      </c>
      <c r="C208" s="13" t="s">
        <v>114</v>
      </c>
      <c r="D208" t="s">
        <v>15</v>
      </c>
      <c r="E208">
        <v>18</v>
      </c>
      <c r="G208">
        <v>12.7</v>
      </c>
      <c r="H208">
        <f>Table1[[#This Row],[Total electrode weight (mg)]] - IF(ROW()&lt;40, Constants!$B$2 * PI()*(Table1[[#This Row],[Electrode Diameter(mm)]]/(10*2))^2, Constants!$B$4 * PI()*(Table1[[#This Row],[Electrode Diameter(mm)]]/(10*2))^2)</f>
        <v>13.945073398522275</v>
      </c>
      <c r="I208" s="12">
        <f t="shared" si="3"/>
        <v>12.968918260625717</v>
      </c>
      <c r="J208">
        <f>Table1[[#This Row],[Coating weight (mg)]]/Constants!$C$2</f>
        <v>11.008381738007893</v>
      </c>
      <c r="K208">
        <f>(Table1[[#This Row],[Coating weight (mg)]]/1000)/(((Table1[[#This Row],[Electrode Thickness(µm)]]-Constants!$E$4)*10^-4)*Constants!$C$4)</f>
        <v>-9.1736514483399105</v>
      </c>
    </row>
    <row r="209" spans="1:17" x14ac:dyDescent="0.35">
      <c r="A209" s="28">
        <v>12002</v>
      </c>
      <c r="B209" t="s">
        <v>82</v>
      </c>
      <c r="C209" s="13" t="s">
        <v>114</v>
      </c>
      <c r="D209" t="s">
        <v>15</v>
      </c>
      <c r="E209">
        <v>18.3</v>
      </c>
      <c r="G209">
        <v>12.7</v>
      </c>
      <c r="H209">
        <f>Table1[[#This Row],[Total electrode weight (mg)]] - IF(ROW()&lt;40, Constants!$B$2 * PI()*(Table1[[#This Row],[Electrode Diameter(mm)]]/(10*2))^2, Constants!$B$4 * PI()*(Table1[[#This Row],[Electrode Diameter(mm)]]/(10*2))^2)</f>
        <v>14.245073398522276</v>
      </c>
      <c r="I209" s="12">
        <f t="shared" si="3"/>
        <v>13.247918260625717</v>
      </c>
      <c r="J209">
        <f>Table1[[#This Row],[Coating weight (mg)]]/Constants!$C$2</f>
        <v>11.245204766974693</v>
      </c>
      <c r="K209">
        <f>(Table1[[#This Row],[Coating weight (mg)]]/1000)/(((Table1[[#This Row],[Electrode Thickness(µm)]]-Constants!$E$4)*10^-4)*Constants!$C$4)</f>
        <v>-9.3710039724789098</v>
      </c>
    </row>
    <row r="210" spans="1:17" x14ac:dyDescent="0.35">
      <c r="A210" s="28">
        <v>12018</v>
      </c>
      <c r="B210" t="s">
        <v>26</v>
      </c>
      <c r="C210" s="13" t="s">
        <v>115</v>
      </c>
      <c r="D210" s="5" t="s">
        <v>66</v>
      </c>
      <c r="E210">
        <v>16.2</v>
      </c>
      <c r="G210">
        <v>12.7</v>
      </c>
      <c r="H210">
        <f>Table1[[#This Row],[Total electrode weight (mg)]] - IF(ROW()&lt;40, Constants!$B$2 * PI()*(Table1[[#This Row],[Electrode Diameter(mm)]]/(10*2))^2, Constants!$B$4 * PI()*(Table1[[#This Row],[Electrode Diameter(mm)]]/(10*2))^2)</f>
        <v>12.145073398522275</v>
      </c>
      <c r="I210" s="12">
        <f t="shared" si="3"/>
        <v>10.323312388743933</v>
      </c>
      <c r="J210">
        <f>Table1[[#This Row],[Coating weight (mg)]]/Constants!$C$2</f>
        <v>9.5874435642071045</v>
      </c>
      <c r="K210">
        <f>(Table1[[#This Row],[Coating weight (mg)]]/1000)/(((Table1[[#This Row],[Electrode Thickness(µm)]]-Constants!$E$4)*10^-4)*Constants!$C$4)</f>
        <v>-7.9895363035059193</v>
      </c>
    </row>
    <row r="211" spans="1:17" x14ac:dyDescent="0.35">
      <c r="A211" s="28">
        <v>12019</v>
      </c>
      <c r="B211" t="s">
        <v>27</v>
      </c>
      <c r="C211" s="13" t="s">
        <v>115</v>
      </c>
      <c r="D211" s="5" t="s">
        <v>66</v>
      </c>
      <c r="E211">
        <v>16.2</v>
      </c>
      <c r="G211">
        <v>12.7</v>
      </c>
      <c r="H211">
        <f>Table1[[#This Row],[Total electrode weight (mg)]] - IF(ROW()&lt;40, Constants!$B$2 * PI()*(Table1[[#This Row],[Electrode Diameter(mm)]]/(10*2))^2, Constants!$B$4 * PI()*(Table1[[#This Row],[Electrode Diameter(mm)]]/(10*2))^2)</f>
        <v>12.145073398522275</v>
      </c>
      <c r="I211" s="12">
        <f t="shared" si="3"/>
        <v>10.323312388743933</v>
      </c>
      <c r="J211">
        <f>Table1[[#This Row],[Coating weight (mg)]]/Constants!$C$2</f>
        <v>9.5874435642071045</v>
      </c>
      <c r="K211">
        <f>(Table1[[#This Row],[Coating weight (mg)]]/1000)/(((Table1[[#This Row],[Electrode Thickness(µm)]]-Constants!$E$4)*10^-4)*Constants!$C$4)</f>
        <v>-7.9895363035059193</v>
      </c>
    </row>
    <row r="212" spans="1:17" x14ac:dyDescent="0.35">
      <c r="A212" s="28">
        <v>12020</v>
      </c>
      <c r="B212" t="s">
        <v>28</v>
      </c>
      <c r="C212" s="13" t="s">
        <v>115</v>
      </c>
      <c r="D212" s="5" t="s">
        <v>66</v>
      </c>
      <c r="E212">
        <v>15.8</v>
      </c>
      <c r="G212">
        <v>12.7</v>
      </c>
      <c r="H212">
        <f>Table1[[#This Row],[Total electrode weight (mg)]] - IF(ROW()&lt;40, Constants!$B$2 * PI()*(Table1[[#This Row],[Electrode Diameter(mm)]]/(10*2))^2, Constants!$B$4 * PI()*(Table1[[#This Row],[Electrode Diameter(mm)]]/(10*2))^2)</f>
        <v>11.745073398522276</v>
      </c>
      <c r="I212" s="12">
        <f t="shared" si="3"/>
        <v>9.9833123887439346</v>
      </c>
      <c r="J212">
        <f>Table1[[#This Row],[Coating weight (mg)]]/Constants!$C$2</f>
        <v>9.2716795255847071</v>
      </c>
      <c r="K212">
        <f>(Table1[[#This Row],[Coating weight (mg)]]/1000)/(((Table1[[#This Row],[Electrode Thickness(µm)]]-Constants!$E$4)*10^-4)*Constants!$C$4)</f>
        <v>-7.7263996046539214</v>
      </c>
    </row>
    <row r="213" spans="1:17" x14ac:dyDescent="0.35">
      <c r="A213" s="28">
        <v>12021</v>
      </c>
      <c r="B213" t="s">
        <v>82</v>
      </c>
      <c r="C213" s="13" t="s">
        <v>115</v>
      </c>
      <c r="D213" s="5" t="s">
        <v>66</v>
      </c>
      <c r="E213">
        <v>16.2</v>
      </c>
      <c r="G213">
        <v>12.7</v>
      </c>
      <c r="H213">
        <f>Table1[[#This Row],[Total electrode weight (mg)]] - IF(ROW()&lt;40, Constants!$B$2 * PI()*(Table1[[#This Row],[Electrode Diameter(mm)]]/(10*2))^2, Constants!$B$4 * PI()*(Table1[[#This Row],[Electrode Diameter(mm)]]/(10*2))^2)</f>
        <v>12.145073398522275</v>
      </c>
      <c r="I213" s="12">
        <f t="shared" si="3"/>
        <v>10.323312388743933</v>
      </c>
      <c r="J213">
        <f>Table1[[#This Row],[Coating weight (mg)]]/Constants!$C$2</f>
        <v>9.5874435642071045</v>
      </c>
      <c r="K213">
        <f>(Table1[[#This Row],[Coating weight (mg)]]/1000)/(((Table1[[#This Row],[Electrode Thickness(µm)]]-Constants!$E$4)*10^-4)*Constants!$C$4)</f>
        <v>-7.9895363035059193</v>
      </c>
    </row>
    <row r="214" spans="1:17" x14ac:dyDescent="0.35">
      <c r="A214" s="28">
        <v>12022</v>
      </c>
      <c r="B214" t="s">
        <v>85</v>
      </c>
      <c r="C214" s="13" t="s">
        <v>115</v>
      </c>
      <c r="D214" s="5" t="s">
        <v>66</v>
      </c>
      <c r="E214">
        <v>15.6</v>
      </c>
      <c r="G214">
        <v>12.7</v>
      </c>
      <c r="H214">
        <f>Table1[[#This Row],[Total electrode weight (mg)]] - IF(ROW()&lt;40, Constants!$B$2 * PI()*(Table1[[#This Row],[Electrode Diameter(mm)]]/(10*2))^2, Constants!$B$4 * PI()*(Table1[[#This Row],[Electrode Diameter(mm)]]/(10*2))^2)</f>
        <v>11.545073398522273</v>
      </c>
      <c r="I214" s="12">
        <f t="shared" si="3"/>
        <v>9.8133123887439329</v>
      </c>
      <c r="J214">
        <f>Table1[[#This Row],[Coating weight (mg)]]/Constants!$C$2</f>
        <v>9.1137975062735066</v>
      </c>
      <c r="K214">
        <f>(Table1[[#This Row],[Coating weight (mg)]]/1000)/(((Table1[[#This Row],[Electrode Thickness(µm)]]-Constants!$E$4)*10^-4)*Constants!$C$4)</f>
        <v>-7.5948312552279216</v>
      </c>
    </row>
    <row r="215" spans="1:17" x14ac:dyDescent="0.35">
      <c r="A215" s="28">
        <v>12023</v>
      </c>
      <c r="B215" t="s">
        <v>19</v>
      </c>
      <c r="C215" s="13" t="s">
        <v>104</v>
      </c>
      <c r="D215" s="5" t="s">
        <v>66</v>
      </c>
      <c r="E215">
        <v>18.8</v>
      </c>
      <c r="G215">
        <v>12.7</v>
      </c>
      <c r="H215">
        <f>Table1[[#This Row],[Total electrode weight (mg)]] - IF(ROW()&lt;40, Constants!$B$2 * PI()*(Table1[[#This Row],[Electrode Diameter(mm)]]/(10*2))^2, Constants!$B$4 * PI()*(Table1[[#This Row],[Electrode Diameter(mm)]]/(10*2))^2)</f>
        <v>14.745073398522276</v>
      </c>
      <c r="I215" s="12">
        <f t="shared" si="3"/>
        <v>12.533312388743935</v>
      </c>
      <c r="J215">
        <f>Table1[[#This Row],[Coating weight (mg)]]/Constants!$C$2</f>
        <v>11.63990981525269</v>
      </c>
      <c r="K215">
        <f>(Table1[[#This Row],[Coating weight (mg)]]/1000)/(((Table1[[#This Row],[Electrode Thickness(µm)]]-Constants!$E$4)*10^-4)*Constants!$C$4)</f>
        <v>-9.699924846043908</v>
      </c>
    </row>
    <row r="216" spans="1:17" x14ac:dyDescent="0.35">
      <c r="A216" s="28">
        <v>12024</v>
      </c>
      <c r="B216" t="s">
        <v>116</v>
      </c>
      <c r="C216" s="13" t="s">
        <v>104</v>
      </c>
      <c r="D216" s="5" t="s">
        <v>66</v>
      </c>
      <c r="E216">
        <v>20</v>
      </c>
      <c r="G216">
        <v>12.7</v>
      </c>
      <c r="H216">
        <f>Table1[[#This Row],[Total electrode weight (mg)]] - IF(ROW()&lt;40, Constants!$B$2 * PI()*(Table1[[#This Row],[Electrode Diameter(mm)]]/(10*2))^2, Constants!$B$4 * PI()*(Table1[[#This Row],[Electrode Diameter(mm)]]/(10*2))^2)</f>
        <v>15.945073398522275</v>
      </c>
      <c r="I216" s="12">
        <f t="shared" si="3"/>
        <v>13.553312388743933</v>
      </c>
      <c r="J216">
        <f>Table1[[#This Row],[Coating weight (mg)]]/Constants!$C$2</f>
        <v>12.587201931119882</v>
      </c>
      <c r="K216">
        <f>(Table1[[#This Row],[Coating weight (mg)]]/1000)/(((Table1[[#This Row],[Electrode Thickness(µm)]]-Constants!$E$4)*10^-4)*Constants!$C$4)</f>
        <v>-10.4893349425999</v>
      </c>
    </row>
    <row r="217" spans="1:17" x14ac:dyDescent="0.35">
      <c r="A217" s="28">
        <v>12025</v>
      </c>
      <c r="B217" t="s">
        <v>74</v>
      </c>
      <c r="C217" s="13" t="s">
        <v>104</v>
      </c>
      <c r="D217" s="5" t="s">
        <v>66</v>
      </c>
      <c r="E217">
        <v>18.7</v>
      </c>
      <c r="G217">
        <v>12.7</v>
      </c>
      <c r="H217">
        <f>Table1[[#This Row],[Total electrode weight (mg)]] - IF(ROW()&lt;40, Constants!$B$2 * PI()*(Table1[[#This Row],[Electrode Diameter(mm)]]/(10*2))^2, Constants!$B$4 * PI()*(Table1[[#This Row],[Electrode Diameter(mm)]]/(10*2))^2)</f>
        <v>14.645073398522275</v>
      </c>
      <c r="I217" s="12">
        <f t="shared" si="3"/>
        <v>12.448312388743933</v>
      </c>
      <c r="J217">
        <f>Table1[[#This Row],[Coating weight (mg)]]/Constants!$C$2</f>
        <v>11.560968805597089</v>
      </c>
      <c r="K217">
        <f>(Table1[[#This Row],[Coating weight (mg)]]/1000)/(((Table1[[#This Row],[Electrode Thickness(µm)]]-Constants!$E$4)*10^-4)*Constants!$C$4)</f>
        <v>-9.6341406713309059</v>
      </c>
    </row>
    <row r="218" spans="1:17" x14ac:dyDescent="0.35">
      <c r="A218" s="28">
        <v>12026</v>
      </c>
      <c r="B218" t="s">
        <v>51</v>
      </c>
      <c r="C218" s="13" t="s">
        <v>104</v>
      </c>
      <c r="D218" s="5" t="s">
        <v>66</v>
      </c>
      <c r="E218">
        <v>19.399999999999999</v>
      </c>
      <c r="G218">
        <v>12.7</v>
      </c>
      <c r="H218">
        <f>Table1[[#This Row],[Total electrode weight (mg)]] - IF(ROW()&lt;40, Constants!$B$2 * PI()*(Table1[[#This Row],[Electrode Diameter(mm)]]/(10*2))^2, Constants!$B$4 * PI()*(Table1[[#This Row],[Electrode Diameter(mm)]]/(10*2))^2)</f>
        <v>15.345073398522274</v>
      </c>
      <c r="I218" s="12">
        <f t="shared" si="3"/>
        <v>13.043312388743933</v>
      </c>
      <c r="J218">
        <f>Table1[[#This Row],[Coating weight (mg)]]/Constants!$C$2</f>
        <v>12.113555873186284</v>
      </c>
      <c r="K218">
        <f>(Table1[[#This Row],[Coating weight (mg)]]/1000)/(((Table1[[#This Row],[Electrode Thickness(µm)]]-Constants!$E$4)*10^-4)*Constants!$C$4)</f>
        <v>-10.094629894321901</v>
      </c>
    </row>
    <row r="219" spans="1:17" x14ac:dyDescent="0.35">
      <c r="A219" s="28">
        <v>12027</v>
      </c>
      <c r="B219" t="s">
        <v>75</v>
      </c>
      <c r="C219" s="13" t="s">
        <v>104</v>
      </c>
      <c r="D219" s="5" t="s">
        <v>66</v>
      </c>
      <c r="E219">
        <v>17.899999999999999</v>
      </c>
      <c r="G219">
        <v>12.7</v>
      </c>
      <c r="H219">
        <f>Table1[[#This Row],[Total electrode weight (mg)]] - IF(ROW()&lt;40, Constants!$B$2 * PI()*(Table1[[#This Row],[Electrode Diameter(mm)]]/(10*2))^2, Constants!$B$4 * PI()*(Table1[[#This Row],[Electrode Diameter(mm)]]/(10*2))^2)</f>
        <v>13.845073398522274</v>
      </c>
      <c r="I219" s="12">
        <f t="shared" si="3"/>
        <v>11.768312388743933</v>
      </c>
      <c r="J219">
        <f>Table1[[#This Row],[Coating weight (mg)]]/Constants!$C$2</f>
        <v>10.929440728352294</v>
      </c>
      <c r="K219">
        <f>(Table1[[#This Row],[Coating weight (mg)]]/1000)/(((Table1[[#This Row],[Electrode Thickness(µm)]]-Constants!$E$4)*10^-4)*Constants!$C$4)</f>
        <v>-9.1078672736269102</v>
      </c>
    </row>
    <row r="220" spans="1:17" x14ac:dyDescent="0.35">
      <c r="A220" s="28">
        <v>12028</v>
      </c>
      <c r="B220" t="s">
        <v>117</v>
      </c>
      <c r="C220" s="13" t="s">
        <v>112</v>
      </c>
      <c r="D220" s="5" t="s">
        <v>15</v>
      </c>
      <c r="E220">
        <v>22.3</v>
      </c>
      <c r="G220">
        <v>12.7</v>
      </c>
      <c r="H220">
        <f>Table1[[#This Row],[Total electrode weight (mg)]] - IF(ROW()&lt;40, Constants!$B$2 * PI()*(Table1[[#This Row],[Electrode Diameter(mm)]]/(10*2))^2, Constants!$B$4 * PI()*(Table1[[#This Row],[Electrode Diameter(mm)]]/(10*2))^2)</f>
        <v>18.245073398522276</v>
      </c>
      <c r="I220" s="12">
        <f t="shared" si="3"/>
        <v>16.967918260625719</v>
      </c>
      <c r="J220">
        <f>Table1[[#This Row],[Coating weight (mg)]]/Constants!$C$2</f>
        <v>14.402845153198669</v>
      </c>
      <c r="K220">
        <f>(Table1[[#This Row],[Coating weight (mg)]]/1000)/(((Table1[[#This Row],[Electrode Thickness(µm)]]-Constants!$E$4)*10^-4)*Constants!$C$4)</f>
        <v>-12.002370960998888</v>
      </c>
    </row>
    <row r="221" spans="1:17" x14ac:dyDescent="0.35">
      <c r="A221" s="28">
        <v>12029</v>
      </c>
      <c r="B221" t="s">
        <v>118</v>
      </c>
      <c r="C221" s="13" t="s">
        <v>112</v>
      </c>
      <c r="D221" s="5" t="s">
        <v>15</v>
      </c>
      <c r="E221">
        <v>23.2</v>
      </c>
      <c r="G221">
        <v>12.7</v>
      </c>
      <c r="H221">
        <f>Table1[[#This Row],[Total electrode weight (mg)]] - IF(ROW()&lt;40, Constants!$B$2 * PI()*(Table1[[#This Row],[Electrode Diameter(mm)]]/(10*2))^2, Constants!$B$4 * PI()*(Table1[[#This Row],[Electrode Diameter(mm)]]/(10*2))^2)</f>
        <v>19.145073398522275</v>
      </c>
      <c r="I221" s="12">
        <f t="shared" si="3"/>
        <v>17.804918260625715</v>
      </c>
      <c r="J221">
        <f>Table1[[#This Row],[Coating weight (mg)]]/Constants!$C$2</f>
        <v>15.113314240099063</v>
      </c>
      <c r="K221">
        <f>(Table1[[#This Row],[Coating weight (mg)]]/1000)/(((Table1[[#This Row],[Electrode Thickness(µm)]]-Constants!$E$4)*10^-4)*Constants!$C$4)</f>
        <v>-12.594428533415885</v>
      </c>
    </row>
    <row r="222" spans="1:17" x14ac:dyDescent="0.35">
      <c r="A222" s="28">
        <v>12030</v>
      </c>
      <c r="B222" t="s">
        <v>53</v>
      </c>
      <c r="C222" s="13" t="s">
        <v>112</v>
      </c>
      <c r="D222" s="5" t="s">
        <v>15</v>
      </c>
      <c r="E222">
        <v>22.8</v>
      </c>
      <c r="G222">
        <v>12.7</v>
      </c>
      <c r="H222">
        <f>Table1[[#This Row],[Total electrode weight (mg)]] - IF(ROW()&lt;40, Constants!$B$2 * PI()*(Table1[[#This Row],[Electrode Diameter(mm)]]/(10*2))^2, Constants!$B$4 * PI()*(Table1[[#This Row],[Electrode Diameter(mm)]]/(10*2))^2)</f>
        <v>18.745073398522276</v>
      </c>
      <c r="I222" s="12">
        <f t="shared" si="3"/>
        <v>17.432918260625719</v>
      </c>
      <c r="J222">
        <f>Table1[[#This Row],[Coating weight (mg)]]/Constants!$C$2</f>
        <v>14.797550201476666</v>
      </c>
      <c r="K222">
        <f>(Table1[[#This Row],[Coating weight (mg)]]/1000)/(((Table1[[#This Row],[Electrode Thickness(µm)]]-Constants!$E$4)*10^-4)*Constants!$C$4)</f>
        <v>-12.331291834563887</v>
      </c>
    </row>
    <row r="223" spans="1:17" x14ac:dyDescent="0.35">
      <c r="A223" s="28">
        <v>12031</v>
      </c>
      <c r="B223" t="s">
        <v>101</v>
      </c>
      <c r="C223" s="13" t="s">
        <v>112</v>
      </c>
      <c r="D223" s="5" t="s">
        <v>15</v>
      </c>
      <c r="E223">
        <v>23.3</v>
      </c>
      <c r="G223">
        <v>12.7</v>
      </c>
      <c r="H223">
        <f>Table1[[#This Row],[Total electrode weight (mg)]] - IF(ROW()&lt;40, Constants!$B$2 * PI()*(Table1[[#This Row],[Electrode Diameter(mm)]]/(10*2))^2, Constants!$B$4 * PI()*(Table1[[#This Row],[Electrode Diameter(mm)]]/(10*2))^2)</f>
        <v>19.245073398522276</v>
      </c>
      <c r="I223" s="12">
        <f t="shared" si="3"/>
        <v>17.897918260625719</v>
      </c>
      <c r="J223">
        <f>Table1[[#This Row],[Coating weight (mg)]]/Constants!$C$2</f>
        <v>15.192255249754663</v>
      </c>
      <c r="K223">
        <f>(Table1[[#This Row],[Coating weight (mg)]]/1000)/(((Table1[[#This Row],[Electrode Thickness(µm)]]-Constants!$E$4)*10^-4)*Constants!$C$4)</f>
        <v>-12.660212708128883</v>
      </c>
    </row>
    <row r="224" spans="1:17" x14ac:dyDescent="0.35">
      <c r="A224" s="28">
        <v>12032</v>
      </c>
      <c r="B224" t="s">
        <v>119</v>
      </c>
      <c r="C224" s="13" t="s">
        <v>112</v>
      </c>
      <c r="D224" s="5" t="s">
        <v>15</v>
      </c>
      <c r="E224">
        <v>23.9</v>
      </c>
      <c r="G224">
        <v>12.7</v>
      </c>
      <c r="H224">
        <f>Table1[[#This Row],[Total electrode weight (mg)]] - IF(ROW()&lt;40, Constants!$B$2 * PI()*(Table1[[#This Row],[Electrode Diameter(mm)]]/(10*2))^2, Constants!$B$4 * PI()*(Table1[[#This Row],[Electrode Diameter(mm)]]/(10*2))^2)</f>
        <v>19.845073398522274</v>
      </c>
      <c r="I224" s="12">
        <f t="shared" si="3"/>
        <v>18.455918260625715</v>
      </c>
      <c r="J224">
        <f>Table1[[#This Row],[Coating weight (mg)]]/Constants!$C$2</f>
        <v>15.665901307688257</v>
      </c>
      <c r="K224">
        <f>(Table1[[#This Row],[Coating weight (mg)]]/1000)/(((Table1[[#This Row],[Electrode Thickness(µm)]]-Constants!$E$4)*10^-4)*Constants!$C$4)</f>
        <v>-13.05491775640688</v>
      </c>
      <c r="O224">
        <v>10987</v>
      </c>
      <c r="P224" t="s">
        <v>120</v>
      </c>
      <c r="Q224">
        <v>22.69551459646863</v>
      </c>
    </row>
    <row r="225" spans="1:14" x14ac:dyDescent="0.35">
      <c r="A225" s="28">
        <v>12033</v>
      </c>
      <c r="B225" t="s">
        <v>121</v>
      </c>
      <c r="C225" s="13" t="s">
        <v>122</v>
      </c>
      <c r="D225" t="s">
        <v>15</v>
      </c>
      <c r="E225">
        <v>21.5</v>
      </c>
      <c r="G225">
        <v>12.7</v>
      </c>
      <c r="H225">
        <f>Table1[[#This Row],[Total electrode weight (mg)]] - IF(ROW()&lt;40, Constants!$B$2 * PI()*(Table1[[#This Row],[Electrode Diameter(mm)]]/(10*2))^2, Constants!$B$4 * PI()*(Table1[[#This Row],[Electrode Diameter(mm)]]/(10*2))^2)</f>
        <v>17.445073398522275</v>
      </c>
      <c r="I225" s="12">
        <f t="shared" si="3"/>
        <v>16.223918260625716</v>
      </c>
      <c r="J225">
        <f>Table1[[#This Row],[Coating weight (mg)]]/Constants!$C$2</f>
        <v>13.771317075953872</v>
      </c>
      <c r="K225">
        <f>(Table1[[#This Row],[Coating weight (mg)]]/1000)/(((Table1[[#This Row],[Electrode Thickness(µm)]]-Constants!$E$4)*10^-4)*Constants!$C$4)</f>
        <v>-11.476097563294893</v>
      </c>
    </row>
    <row r="226" spans="1:14" x14ac:dyDescent="0.35">
      <c r="A226" s="28">
        <v>12034</v>
      </c>
      <c r="B226" t="s">
        <v>123</v>
      </c>
      <c r="C226" s="13" t="s">
        <v>122</v>
      </c>
      <c r="D226" t="s">
        <v>15</v>
      </c>
      <c r="E226">
        <v>17.899999999999999</v>
      </c>
      <c r="G226">
        <v>12.7</v>
      </c>
      <c r="H226">
        <f>Table1[[#This Row],[Total electrode weight (mg)]] - IF(ROW()&lt;40, Constants!$B$2 * PI()*(Table1[[#This Row],[Electrode Diameter(mm)]]/(10*2))^2, Constants!$B$4 * PI()*(Table1[[#This Row],[Electrode Diameter(mm)]]/(10*2))^2)</f>
        <v>13.845073398522274</v>
      </c>
      <c r="I226" s="12">
        <f t="shared" si="3"/>
        <v>12.875918260625715</v>
      </c>
      <c r="J226">
        <f>Table1[[#This Row],[Coating weight (mg)]]/Constants!$C$2</f>
        <v>10.929440728352294</v>
      </c>
      <c r="K226">
        <f>(Table1[[#This Row],[Coating weight (mg)]]/1000)/(((Table1[[#This Row],[Electrode Thickness(µm)]]-Constants!$E$4)*10^-4)*Constants!$C$4)</f>
        <v>-9.1078672736269102</v>
      </c>
    </row>
    <row r="227" spans="1:14" x14ac:dyDescent="0.35">
      <c r="A227" s="28">
        <v>12035</v>
      </c>
      <c r="B227" t="s">
        <v>124</v>
      </c>
      <c r="C227" s="13" t="s">
        <v>122</v>
      </c>
      <c r="D227" t="s">
        <v>15</v>
      </c>
      <c r="E227">
        <v>18.3</v>
      </c>
      <c r="G227">
        <v>12.7</v>
      </c>
      <c r="H227">
        <f>Table1[[#This Row],[Total electrode weight (mg)]] - IF(ROW()&lt;40, Constants!$B$2 * PI()*(Table1[[#This Row],[Electrode Diameter(mm)]]/(10*2))^2, Constants!$B$4 * PI()*(Table1[[#This Row],[Electrode Diameter(mm)]]/(10*2))^2)</f>
        <v>14.245073398522276</v>
      </c>
      <c r="I227" s="12">
        <f t="shared" si="3"/>
        <v>13.247918260625717</v>
      </c>
      <c r="J227">
        <f>Table1[[#This Row],[Coating weight (mg)]]/Constants!$C$2</f>
        <v>11.245204766974693</v>
      </c>
      <c r="K227">
        <f>(Table1[[#This Row],[Coating weight (mg)]]/1000)/(((Table1[[#This Row],[Electrode Thickness(µm)]]-Constants!$E$4)*10^-4)*Constants!$C$4)</f>
        <v>-9.3710039724789098</v>
      </c>
      <c r="N227" t="s">
        <v>125</v>
      </c>
    </row>
    <row r="228" spans="1:14" x14ac:dyDescent="0.35">
      <c r="A228" s="28">
        <v>12036</v>
      </c>
      <c r="B228" t="s">
        <v>126</v>
      </c>
      <c r="C228" s="13" t="s">
        <v>122</v>
      </c>
      <c r="D228" t="s">
        <v>15</v>
      </c>
      <c r="E228">
        <v>18.7</v>
      </c>
      <c r="G228">
        <v>12.7</v>
      </c>
      <c r="H228">
        <f>Table1[[#This Row],[Total electrode weight (mg)]] - IF(ROW()&lt;40, Constants!$B$2 * PI()*(Table1[[#This Row],[Electrode Diameter(mm)]]/(10*2))^2, Constants!$B$4 * PI()*(Table1[[#This Row],[Electrode Diameter(mm)]]/(10*2))^2)</f>
        <v>14.645073398522275</v>
      </c>
      <c r="I228" s="12">
        <f t="shared" si="3"/>
        <v>13.619918260625717</v>
      </c>
      <c r="J228">
        <f>Table1[[#This Row],[Coating weight (mg)]]/Constants!$C$2</f>
        <v>11.560968805597089</v>
      </c>
      <c r="K228">
        <f>(Table1[[#This Row],[Coating weight (mg)]]/1000)/(((Table1[[#This Row],[Electrode Thickness(µm)]]-Constants!$E$4)*10^-4)*Constants!$C$4)</f>
        <v>-9.6341406713309059</v>
      </c>
    </row>
    <row r="229" spans="1:14" x14ac:dyDescent="0.35">
      <c r="A229" s="28">
        <v>12037</v>
      </c>
      <c r="B229" t="s">
        <v>127</v>
      </c>
      <c r="C229" s="13" t="s">
        <v>122</v>
      </c>
      <c r="D229" t="s">
        <v>15</v>
      </c>
      <c r="E229">
        <v>20.2</v>
      </c>
      <c r="G229">
        <v>12.7</v>
      </c>
      <c r="H229">
        <f>Table1[[#This Row],[Total electrode weight (mg)]] - IF(ROW()&lt;40, Constants!$B$2 * PI()*(Table1[[#This Row],[Electrode Diameter(mm)]]/(10*2))^2, Constants!$B$4 * PI()*(Table1[[#This Row],[Electrode Diameter(mm)]]/(10*2))^2)</f>
        <v>16.145073398522275</v>
      </c>
      <c r="I229" s="12">
        <f t="shared" si="3"/>
        <v>15.014918260625716</v>
      </c>
      <c r="J229">
        <f>Table1[[#This Row],[Coating weight (mg)]]/Constants!$C$2</f>
        <v>12.745083950431081</v>
      </c>
      <c r="K229">
        <f>(Table1[[#This Row],[Coating weight (mg)]]/1000)/(((Table1[[#This Row],[Electrode Thickness(µm)]]-Constants!$E$4)*10^-4)*Constants!$C$4)</f>
        <v>-10.620903292025899</v>
      </c>
    </row>
    <row r="230" spans="1:14" x14ac:dyDescent="0.35">
      <c r="A230" s="28">
        <v>12047</v>
      </c>
      <c r="B230" t="s">
        <v>19</v>
      </c>
      <c r="C230" s="13" t="s">
        <v>128</v>
      </c>
      <c r="D230" t="s">
        <v>15</v>
      </c>
      <c r="E230">
        <v>19.2</v>
      </c>
      <c r="G230">
        <v>12.7</v>
      </c>
      <c r="H230">
        <f>Table1[[#This Row],[Total electrode weight (mg)]] - IF(ROW()&lt;40, Constants!$B$2 * PI()*(Table1[[#This Row],[Electrode Diameter(mm)]]/(10*2))^2, Constants!$B$4 * PI()*(Table1[[#This Row],[Electrode Diameter(mm)]]/(10*2))^2)</f>
        <v>15.145073398522275</v>
      </c>
      <c r="I230" s="12">
        <f t="shared" si="3"/>
        <v>14.084918260625717</v>
      </c>
      <c r="J230">
        <f>Table1[[#This Row],[Coating weight (mg)]]/Constants!$C$2</f>
        <v>11.955673853875085</v>
      </c>
      <c r="K230">
        <f>(Table1[[#This Row],[Coating weight (mg)]]/1000)/(((Table1[[#This Row],[Electrode Thickness(µm)]]-Constants!$E$4)*10^-4)*Constants!$C$4)</f>
        <v>-9.9630615448959041</v>
      </c>
    </row>
    <row r="231" spans="1:14" x14ac:dyDescent="0.35">
      <c r="A231" s="28">
        <v>12048</v>
      </c>
      <c r="B231" t="s">
        <v>116</v>
      </c>
      <c r="C231" s="13" t="s">
        <v>128</v>
      </c>
      <c r="D231" t="s">
        <v>15</v>
      </c>
      <c r="E231">
        <v>18.2</v>
      </c>
      <c r="G231">
        <v>12.7</v>
      </c>
      <c r="H231">
        <f>Table1[[#This Row],[Total electrode weight (mg)]] - IF(ROW()&lt;40, Constants!$B$2 * PI()*(Table1[[#This Row],[Electrode Diameter(mm)]]/(10*2))^2, Constants!$B$4 * PI()*(Table1[[#This Row],[Electrode Diameter(mm)]]/(10*2))^2)</f>
        <v>14.145073398522275</v>
      </c>
      <c r="I231" s="12">
        <f t="shared" si="3"/>
        <v>13.154918260625717</v>
      </c>
      <c r="J231">
        <f>Table1[[#This Row],[Coating weight (mg)]]/Constants!$C$2</f>
        <v>11.166263757319092</v>
      </c>
      <c r="K231">
        <f>(Table1[[#This Row],[Coating weight (mg)]]/1000)/(((Table1[[#This Row],[Electrode Thickness(µm)]]-Constants!$E$4)*10^-4)*Constants!$C$4)</f>
        <v>-9.3052197977659095</v>
      </c>
    </row>
    <row r="232" spans="1:14" x14ac:dyDescent="0.35">
      <c r="A232" s="28">
        <v>12049</v>
      </c>
      <c r="B232" t="s">
        <v>74</v>
      </c>
      <c r="C232" s="13" t="s">
        <v>128</v>
      </c>
      <c r="D232" t="s">
        <v>15</v>
      </c>
      <c r="E232">
        <v>18.899999999999999</v>
      </c>
      <c r="G232">
        <v>12.7</v>
      </c>
      <c r="H232">
        <f>Table1[[#This Row],[Total electrode weight (mg)]] - IF(ROW()&lt;40, Constants!$B$2 * PI()*(Table1[[#This Row],[Electrode Diameter(mm)]]/(10*2))^2, Constants!$B$4 * PI()*(Table1[[#This Row],[Electrode Diameter(mm)]]/(10*2))^2)</f>
        <v>14.845073398522274</v>
      </c>
      <c r="I232" s="12">
        <f t="shared" si="3"/>
        <v>13.805918260625715</v>
      </c>
      <c r="J232">
        <f>Table1[[#This Row],[Coating weight (mg)]]/Constants!$C$2</f>
        <v>11.718850824908287</v>
      </c>
      <c r="K232">
        <f>(Table1[[#This Row],[Coating weight (mg)]]/1000)/(((Table1[[#This Row],[Electrode Thickness(µm)]]-Constants!$E$4)*10^-4)*Constants!$C$4)</f>
        <v>-9.7657090207569048</v>
      </c>
    </row>
    <row r="233" spans="1:14" x14ac:dyDescent="0.35">
      <c r="A233" s="28">
        <v>12050</v>
      </c>
      <c r="B233" t="s">
        <v>51</v>
      </c>
      <c r="C233" s="13" t="s">
        <v>128</v>
      </c>
      <c r="D233" t="s">
        <v>15</v>
      </c>
      <c r="E233">
        <v>19.2</v>
      </c>
      <c r="G233">
        <v>12.7</v>
      </c>
      <c r="H233">
        <f>Table1[[#This Row],[Total electrode weight (mg)]] - IF(ROW()&lt;40, Constants!$B$2 * PI()*(Table1[[#This Row],[Electrode Diameter(mm)]]/(10*2))^2, Constants!$B$4 * PI()*(Table1[[#This Row],[Electrode Diameter(mm)]]/(10*2))^2)</f>
        <v>15.145073398522275</v>
      </c>
      <c r="I233" s="12">
        <f t="shared" si="3"/>
        <v>14.084918260625717</v>
      </c>
      <c r="J233">
        <f>Table1[[#This Row],[Coating weight (mg)]]/Constants!$C$2</f>
        <v>11.955673853875085</v>
      </c>
      <c r="K233">
        <f>(Table1[[#This Row],[Coating weight (mg)]]/1000)/(((Table1[[#This Row],[Electrode Thickness(µm)]]-Constants!$E$4)*10^-4)*Constants!$C$4)</f>
        <v>-9.9630615448959041</v>
      </c>
    </row>
    <row r="234" spans="1:14" x14ac:dyDescent="0.35">
      <c r="A234" s="28">
        <v>12051</v>
      </c>
      <c r="B234" t="s">
        <v>75</v>
      </c>
      <c r="C234" s="13" t="s">
        <v>128</v>
      </c>
      <c r="D234" t="s">
        <v>15</v>
      </c>
      <c r="E234">
        <v>19.100000000000001</v>
      </c>
      <c r="G234">
        <v>12.7</v>
      </c>
      <c r="H234">
        <f>Table1[[#This Row],[Total electrode weight (mg)]] - IF(ROW()&lt;40, Constants!$B$2 * PI()*(Table1[[#This Row],[Electrode Diameter(mm)]]/(10*2))^2, Constants!$B$4 * PI()*(Table1[[#This Row],[Electrode Diameter(mm)]]/(10*2))^2)</f>
        <v>15.045073398522277</v>
      </c>
      <c r="I234" s="12">
        <f t="shared" si="3"/>
        <v>13.991918260625718</v>
      </c>
      <c r="J234">
        <f>Table1[[#This Row],[Coating weight (mg)]]/Constants!$C$2</f>
        <v>11.876732844219488</v>
      </c>
      <c r="K234">
        <f>(Table1[[#This Row],[Coating weight (mg)]]/1000)/(((Table1[[#This Row],[Electrode Thickness(µm)]]-Constants!$E$4)*10^-4)*Constants!$C$4)</f>
        <v>-9.8972773701829055</v>
      </c>
    </row>
    <row r="235" spans="1:14" x14ac:dyDescent="0.35">
      <c r="A235" s="28">
        <v>12052</v>
      </c>
      <c r="B235" t="s">
        <v>22</v>
      </c>
      <c r="C235" s="13" t="s">
        <v>129</v>
      </c>
      <c r="D235" t="s">
        <v>15</v>
      </c>
      <c r="E235">
        <v>14.9</v>
      </c>
      <c r="G235">
        <v>12.7</v>
      </c>
      <c r="H235">
        <f>Table1[[#This Row],[Total electrode weight (mg)]] - IF(ROW()&lt;40, Constants!$B$2 * PI()*(Table1[[#This Row],[Electrode Diameter(mm)]]/(10*2))^2, Constants!$B$4 * PI()*(Table1[[#This Row],[Electrode Diameter(mm)]]/(10*2))^2)</f>
        <v>10.845073398522274</v>
      </c>
      <c r="I235" s="12">
        <f t="shared" si="3"/>
        <v>10.085918260625716</v>
      </c>
      <c r="J235">
        <f>Table1[[#This Row],[Coating weight (mg)]]/Constants!$C$2</f>
        <v>8.5612104386843111</v>
      </c>
      <c r="K235">
        <f>(Table1[[#This Row],[Coating weight (mg)]]/1000)/(((Table1[[#This Row],[Electrode Thickness(µm)]]-Constants!$E$4)*10^-4)*Constants!$C$4)</f>
        <v>-7.1343420322369253</v>
      </c>
    </row>
    <row r="236" spans="1:14" x14ac:dyDescent="0.35">
      <c r="A236" s="28">
        <v>12053</v>
      </c>
      <c r="B236" t="s">
        <v>13</v>
      </c>
      <c r="C236" s="13" t="s">
        <v>129</v>
      </c>
      <c r="D236" t="s">
        <v>15</v>
      </c>
      <c r="E236">
        <v>15</v>
      </c>
      <c r="G236">
        <v>12.7</v>
      </c>
      <c r="H236">
        <f>Table1[[#This Row],[Total electrode weight (mg)]] - IF(ROW()&lt;40, Constants!$B$2 * PI()*(Table1[[#This Row],[Electrode Diameter(mm)]]/(10*2))^2, Constants!$B$4 * PI()*(Table1[[#This Row],[Electrode Diameter(mm)]]/(10*2))^2)</f>
        <v>10.945073398522275</v>
      </c>
      <c r="I236" s="12">
        <f t="shared" si="3"/>
        <v>10.178918260625716</v>
      </c>
      <c r="J236">
        <f>Table1[[#This Row],[Coating weight (mg)]]/Constants!$C$2</f>
        <v>8.6401514483399122</v>
      </c>
      <c r="K236">
        <f>(Table1[[#This Row],[Coating weight (mg)]]/1000)/(((Table1[[#This Row],[Electrode Thickness(µm)]]-Constants!$E$4)*10^-4)*Constants!$C$4)</f>
        <v>-7.2001262069499257</v>
      </c>
    </row>
    <row r="237" spans="1:14" x14ac:dyDescent="0.35">
      <c r="A237" s="28">
        <v>12054</v>
      </c>
      <c r="B237" t="s">
        <v>42</v>
      </c>
      <c r="C237" s="13" t="s">
        <v>129</v>
      </c>
      <c r="D237" t="s">
        <v>15</v>
      </c>
      <c r="E237">
        <v>15.2</v>
      </c>
      <c r="G237">
        <v>12.7</v>
      </c>
      <c r="H237">
        <f>Table1[[#This Row],[Total electrode weight (mg)]] - IF(ROW()&lt;40, Constants!$B$2 * PI()*(Table1[[#This Row],[Electrode Diameter(mm)]]/(10*2))^2, Constants!$B$4 * PI()*(Table1[[#This Row],[Electrode Diameter(mm)]]/(10*2))^2)</f>
        <v>11.145073398522275</v>
      </c>
      <c r="I237" s="12">
        <f t="shared" si="3"/>
        <v>10.364918260625716</v>
      </c>
      <c r="J237">
        <f>Table1[[#This Row],[Coating weight (mg)]]/Constants!$C$2</f>
        <v>8.7980334676511092</v>
      </c>
      <c r="K237">
        <f>(Table1[[#This Row],[Coating weight (mg)]]/1000)/(((Table1[[#This Row],[Electrode Thickness(µm)]]-Constants!$E$4)*10^-4)*Constants!$C$4)</f>
        <v>-7.3316945563759237</v>
      </c>
    </row>
    <row r="238" spans="1:14" x14ac:dyDescent="0.35">
      <c r="A238" s="28">
        <v>12055</v>
      </c>
      <c r="B238" t="s">
        <v>16</v>
      </c>
      <c r="C238" s="13" t="s">
        <v>129</v>
      </c>
      <c r="D238" t="s">
        <v>15</v>
      </c>
      <c r="E238">
        <v>17.100000000000001</v>
      </c>
      <c r="G238">
        <v>12.7</v>
      </c>
      <c r="H238">
        <f>Table1[[#This Row],[Total electrode weight (mg)]] - IF(ROW()&lt;40, Constants!$B$2 * PI()*(Table1[[#This Row],[Electrode Diameter(mm)]]/(10*2))^2, Constants!$B$4 * PI()*(Table1[[#This Row],[Electrode Diameter(mm)]]/(10*2))^2)</f>
        <v>13.045073398522277</v>
      </c>
      <c r="I238" s="12">
        <f t="shared" si="3"/>
        <v>12.131918260625719</v>
      </c>
      <c r="J238">
        <f>Table1[[#This Row],[Coating weight (mg)]]/Constants!$C$2</f>
        <v>10.297912651107501</v>
      </c>
      <c r="K238">
        <f>(Table1[[#This Row],[Coating weight (mg)]]/1000)/(((Table1[[#This Row],[Electrode Thickness(µm)]]-Constants!$E$4)*10^-4)*Constants!$C$4)</f>
        <v>-8.5815938759229162</v>
      </c>
    </row>
    <row r="239" spans="1:14" x14ac:dyDescent="0.35">
      <c r="A239" s="28">
        <v>12056</v>
      </c>
      <c r="B239" t="s">
        <v>44</v>
      </c>
      <c r="C239" s="13" t="s">
        <v>129</v>
      </c>
      <c r="D239" t="s">
        <v>15</v>
      </c>
      <c r="E239">
        <v>14.8</v>
      </c>
      <c r="G239">
        <v>12.7</v>
      </c>
      <c r="H239">
        <f>Table1[[#This Row],[Total electrode weight (mg)]] - IF(ROW()&lt;40, Constants!$B$2 * PI()*(Table1[[#This Row],[Electrode Diameter(mm)]]/(10*2))^2, Constants!$B$4 * PI()*(Table1[[#This Row],[Electrode Diameter(mm)]]/(10*2))^2)</f>
        <v>10.745073398522276</v>
      </c>
      <c r="I239" s="12">
        <f t="shared" si="3"/>
        <v>9.9929182606257179</v>
      </c>
      <c r="J239">
        <f>Table1[[#This Row],[Coating weight (mg)]]/Constants!$C$2</f>
        <v>8.4822694290287135</v>
      </c>
      <c r="K239">
        <f>(Table1[[#This Row],[Coating weight (mg)]]/1000)/(((Table1[[#This Row],[Electrode Thickness(µm)]]-Constants!$E$4)*10^-4)*Constants!$C$4)</f>
        <v>-7.0685578575239276</v>
      </c>
    </row>
    <row r="240" spans="1:14" x14ac:dyDescent="0.35">
      <c r="A240" s="28">
        <v>12092</v>
      </c>
      <c r="C240" s="13" t="s">
        <v>130</v>
      </c>
      <c r="D240" t="s">
        <v>15</v>
      </c>
      <c r="E240">
        <v>19.8</v>
      </c>
      <c r="F240">
        <v>200</v>
      </c>
      <c r="G240">
        <v>12.7</v>
      </c>
      <c r="H240">
        <f>Table1[[#This Row],[Total electrode weight (mg)]] - IF(ROW()&lt;40, Constants!$B$2 * PI()*(Table1[[#This Row],[Electrode Diameter(mm)]]/(10*2))^2, Constants!$B$4 * PI()*(Table1[[#This Row],[Electrode Diameter(mm)]]/(10*2))^2)</f>
        <v>15.745073398522276</v>
      </c>
      <c r="I240" s="12">
        <f t="shared" si="3"/>
        <v>14.642918260625718</v>
      </c>
      <c r="J240">
        <f>Table1[[#This Row],[Coating weight (mg)]]/Constants!$C$2</f>
        <v>12.429319911808683</v>
      </c>
      <c r="K240">
        <f>(Table1[[#This Row],[Coating weight (mg)]]/1000)/(((Table1[[#This Row],[Electrode Thickness(µm)]]-Constants!$E$4)*10^-4)*Constants!$C$4)</f>
        <v>0.66113403786216396</v>
      </c>
    </row>
    <row r="241" spans="1:15" x14ac:dyDescent="0.35">
      <c r="A241" s="28">
        <v>12093</v>
      </c>
      <c r="C241" s="13" t="s">
        <v>130</v>
      </c>
      <c r="D241" t="s">
        <v>15</v>
      </c>
      <c r="E241">
        <v>17.899999999999999</v>
      </c>
      <c r="F241">
        <v>200</v>
      </c>
      <c r="G241">
        <v>12.7</v>
      </c>
      <c r="H241">
        <f>Table1[[#This Row],[Total electrode weight (mg)]] - IF(ROW()&lt;40, Constants!$B$2 * PI()*(Table1[[#This Row],[Electrode Diameter(mm)]]/(10*2))^2, Constants!$B$4 * PI()*(Table1[[#This Row],[Electrode Diameter(mm)]]/(10*2))^2)</f>
        <v>13.845073398522274</v>
      </c>
      <c r="I241" s="12">
        <f t="shared" si="3"/>
        <v>12.875918260625715</v>
      </c>
      <c r="J241">
        <f>Table1[[#This Row],[Coating weight (mg)]]/Constants!$C$2</f>
        <v>10.929440728352294</v>
      </c>
      <c r="K241">
        <f>(Table1[[#This Row],[Coating weight (mg)]]/1000)/(((Table1[[#This Row],[Electrode Thickness(µm)]]-Constants!$E$4)*10^-4)*Constants!$C$4)</f>
        <v>0.58135323023150487</v>
      </c>
    </row>
    <row r="242" spans="1:15" x14ac:dyDescent="0.35">
      <c r="A242" s="28">
        <v>12094</v>
      </c>
      <c r="C242" s="13" t="s">
        <v>130</v>
      </c>
      <c r="D242" t="s">
        <v>15</v>
      </c>
      <c r="E242">
        <v>19.600000000000001</v>
      </c>
      <c r="F242">
        <v>200</v>
      </c>
      <c r="G242">
        <v>12.7</v>
      </c>
      <c r="H242">
        <f>Table1[[#This Row],[Total electrode weight (mg)]] - IF(ROW()&lt;40, Constants!$B$2 * PI()*(Table1[[#This Row],[Electrode Diameter(mm)]]/(10*2))^2, Constants!$B$4 * PI()*(Table1[[#This Row],[Electrode Diameter(mm)]]/(10*2))^2)</f>
        <v>15.545073398522277</v>
      </c>
      <c r="I242" s="12">
        <f t="shared" si="3"/>
        <v>14.456918260625718</v>
      </c>
      <c r="J242">
        <f>Table1[[#This Row],[Coating weight (mg)]]/Constants!$C$2</f>
        <v>12.271437892497486</v>
      </c>
      <c r="K242">
        <f>(Table1[[#This Row],[Coating weight (mg)]]/1000)/(((Table1[[#This Row],[Electrode Thickness(µm)]]-Constants!$E$4)*10^-4)*Constants!$C$4)</f>
        <v>0.65273605811156832</v>
      </c>
    </row>
    <row r="243" spans="1:15" x14ac:dyDescent="0.35">
      <c r="A243" s="28">
        <v>12095</v>
      </c>
      <c r="C243" s="13" t="s">
        <v>130</v>
      </c>
      <c r="D243" t="s">
        <v>15</v>
      </c>
      <c r="E243">
        <v>18.100000000000001</v>
      </c>
      <c r="F243">
        <v>200</v>
      </c>
      <c r="G243">
        <v>12.7</v>
      </c>
      <c r="H243">
        <f>Table1[[#This Row],[Total electrode weight (mg)]] - IF(ROW()&lt;40, Constants!$B$2 * PI()*(Table1[[#This Row],[Electrode Diameter(mm)]]/(10*2))^2, Constants!$B$4 * PI()*(Table1[[#This Row],[Electrode Diameter(mm)]]/(10*2))^2)</f>
        <v>14.045073398522277</v>
      </c>
      <c r="I243" s="12">
        <f t="shared" si="3"/>
        <v>13.061918260625719</v>
      </c>
      <c r="J243">
        <f>Table1[[#This Row],[Coating weight (mg)]]/Constants!$C$2</f>
        <v>11.087322747663494</v>
      </c>
      <c r="K243">
        <f>(Table1[[#This Row],[Coating weight (mg)]]/1000)/(((Table1[[#This Row],[Electrode Thickness(µm)]]-Constants!$E$4)*10^-4)*Constants!$C$4)</f>
        <v>0.58975120998210073</v>
      </c>
    </row>
    <row r="244" spans="1:15" x14ac:dyDescent="0.35">
      <c r="A244" s="28">
        <v>12096</v>
      </c>
      <c r="C244" s="13" t="s">
        <v>130</v>
      </c>
      <c r="D244" t="s">
        <v>15</v>
      </c>
      <c r="E244">
        <v>19.7</v>
      </c>
      <c r="F244">
        <v>200</v>
      </c>
      <c r="G244">
        <v>12.7</v>
      </c>
      <c r="H244">
        <f>Table1[[#This Row],[Total electrode weight (mg)]] - IF(ROW()&lt;40, Constants!$B$2 * PI()*(Table1[[#This Row],[Electrode Diameter(mm)]]/(10*2))^2, Constants!$B$4 * PI()*(Table1[[#This Row],[Electrode Diameter(mm)]]/(10*2))^2)</f>
        <v>15.645073398522275</v>
      </c>
      <c r="I244" s="12">
        <f t="shared" si="3"/>
        <v>14.549918260625716</v>
      </c>
      <c r="J244">
        <f>Table1[[#This Row],[Coating weight (mg)]]/Constants!$C$2</f>
        <v>12.350378902153084</v>
      </c>
      <c r="K244">
        <f>(Table1[[#This Row],[Coating weight (mg)]]/1000)/(((Table1[[#This Row],[Electrode Thickness(µm)]]-Constants!$E$4)*10^-4)*Constants!$C$4)</f>
        <v>0.65693504798686608</v>
      </c>
    </row>
    <row r="245" spans="1:15" x14ac:dyDescent="0.35">
      <c r="A245" s="28">
        <v>12109</v>
      </c>
      <c r="C245" s="13" t="s">
        <v>131</v>
      </c>
      <c r="D245" t="s">
        <v>15</v>
      </c>
      <c r="E245">
        <v>17.600000000000001</v>
      </c>
      <c r="F245">
        <v>100</v>
      </c>
      <c r="G245">
        <v>12.7</v>
      </c>
      <c r="H245">
        <f>Table1[[#This Row],[Total electrode weight (mg)]] - IF(ROW()&lt;40, Constants!$B$2 * PI()*(Table1[[#This Row],[Electrode Diameter(mm)]]/(10*2))^2, Constants!$B$4 * PI()*(Table1[[#This Row],[Electrode Diameter(mm)]]/(10*2))^2)</f>
        <v>13.545073398522277</v>
      </c>
      <c r="I245" s="12">
        <f t="shared" si="3"/>
        <v>12.596918260625719</v>
      </c>
      <c r="J245">
        <f>Table1[[#This Row],[Coating weight (mg)]]/Constants!$C$2</f>
        <v>10.692617699385497</v>
      </c>
      <c r="K245">
        <f>(Table1[[#This Row],[Coating weight (mg)]]/1000)/(((Table1[[#This Row],[Electrode Thickness(µm)]]-Constants!$E$4)*10^-4)*Constants!$C$4)</f>
        <v>1.2150701931119883</v>
      </c>
    </row>
    <row r="246" spans="1:15" x14ac:dyDescent="0.35">
      <c r="A246" s="28">
        <v>12110</v>
      </c>
      <c r="C246" s="13" t="s">
        <v>131</v>
      </c>
      <c r="D246" t="s">
        <v>15</v>
      </c>
      <c r="E246">
        <v>17.8</v>
      </c>
      <c r="F246">
        <v>100</v>
      </c>
      <c r="G246">
        <v>12.7</v>
      </c>
      <c r="H246">
        <f>Table1[[#This Row],[Total electrode weight (mg)]] - IF(ROW()&lt;40, Constants!$B$2 * PI()*(Table1[[#This Row],[Electrode Diameter(mm)]]/(10*2))^2, Constants!$B$4 * PI()*(Table1[[#This Row],[Electrode Diameter(mm)]]/(10*2))^2)</f>
        <v>13.745073398522276</v>
      </c>
      <c r="I246" s="12">
        <f t="shared" si="3"/>
        <v>12.782918260625717</v>
      </c>
      <c r="J246">
        <f>Table1[[#This Row],[Coating weight (mg)]]/Constants!$C$2</f>
        <v>10.850499718696696</v>
      </c>
      <c r="K246">
        <f>(Table1[[#This Row],[Coating weight (mg)]]/1000)/(((Table1[[#This Row],[Electrode Thickness(µm)]]-Constants!$E$4)*10^-4)*Constants!$C$4)</f>
        <v>1.233011331670079</v>
      </c>
    </row>
    <row r="247" spans="1:15" x14ac:dyDescent="0.35">
      <c r="A247" s="28">
        <v>12111</v>
      </c>
      <c r="C247" s="13" t="s">
        <v>131</v>
      </c>
      <c r="D247" t="s">
        <v>15</v>
      </c>
      <c r="E247">
        <v>16.5</v>
      </c>
      <c r="F247">
        <v>100</v>
      </c>
      <c r="G247">
        <v>12.7</v>
      </c>
      <c r="H247">
        <f>Table1[[#This Row],[Total electrode weight (mg)]] - IF(ROW()&lt;40, Constants!$B$2 * PI()*(Table1[[#This Row],[Electrode Diameter(mm)]]/(10*2))^2, Constants!$B$4 * PI()*(Table1[[#This Row],[Electrode Diameter(mm)]]/(10*2))^2)</f>
        <v>12.445073398522275</v>
      </c>
      <c r="I247" s="12">
        <f t="shared" si="3"/>
        <v>11.573918260625717</v>
      </c>
      <c r="J247">
        <f>Table1[[#This Row],[Coating weight (mg)]]/Constants!$C$2</f>
        <v>9.8242665931739026</v>
      </c>
      <c r="K247">
        <f>(Table1[[#This Row],[Coating weight (mg)]]/1000)/(((Table1[[#This Row],[Electrode Thickness(µm)]]-Constants!$E$4)*10^-4)*Constants!$C$4)</f>
        <v>1.1163939310424889</v>
      </c>
    </row>
    <row r="248" spans="1:15" x14ac:dyDescent="0.35">
      <c r="A248" s="28">
        <v>12112</v>
      </c>
      <c r="C248" s="13" t="s">
        <v>131</v>
      </c>
      <c r="D248" t="s">
        <v>15</v>
      </c>
      <c r="E248">
        <v>17.8</v>
      </c>
      <c r="F248">
        <v>100</v>
      </c>
      <c r="G248">
        <v>12.7</v>
      </c>
      <c r="H248">
        <f>Table1[[#This Row],[Total electrode weight (mg)]] - IF(ROW()&lt;40, Constants!$B$2 * PI()*(Table1[[#This Row],[Electrode Diameter(mm)]]/(10*2))^2, Constants!$B$4 * PI()*(Table1[[#This Row],[Electrode Diameter(mm)]]/(10*2))^2)</f>
        <v>13.745073398522276</v>
      </c>
      <c r="I248" s="12">
        <f t="shared" si="3"/>
        <v>12.782918260625717</v>
      </c>
      <c r="J248">
        <f>Table1[[#This Row],[Coating weight (mg)]]/Constants!$C$2</f>
        <v>10.850499718696696</v>
      </c>
      <c r="K248">
        <f>(Table1[[#This Row],[Coating weight (mg)]]/1000)/(((Table1[[#This Row],[Electrode Thickness(µm)]]-Constants!$E$4)*10^-4)*Constants!$C$4)</f>
        <v>1.233011331670079</v>
      </c>
    </row>
    <row r="249" spans="1:15" x14ac:dyDescent="0.35">
      <c r="A249" s="28">
        <v>12113</v>
      </c>
      <c r="C249" s="13" t="s">
        <v>131</v>
      </c>
      <c r="D249" t="s">
        <v>15</v>
      </c>
      <c r="E249">
        <v>17.7</v>
      </c>
      <c r="F249">
        <v>100</v>
      </c>
      <c r="G249">
        <v>12.7</v>
      </c>
      <c r="H249">
        <f>Table1[[#This Row],[Total electrode weight (mg)]] - IF(ROW()&lt;40, Constants!$B$2 * PI()*(Table1[[#This Row],[Electrode Diameter(mm)]]/(10*2))^2, Constants!$B$4 * PI()*(Table1[[#This Row],[Electrode Diameter(mm)]]/(10*2))^2)</f>
        <v>13.645073398522275</v>
      </c>
      <c r="I249" s="12">
        <f t="shared" si="3"/>
        <v>12.689918260625717</v>
      </c>
      <c r="J249">
        <f>Table1[[#This Row],[Coating weight (mg)]]/Constants!$C$2</f>
        <v>10.771558709041095</v>
      </c>
      <c r="K249">
        <f>(Table1[[#This Row],[Coating weight (mg)]]/1000)/(((Table1[[#This Row],[Electrode Thickness(µm)]]-Constants!$E$4)*10^-4)*Constants!$C$4)</f>
        <v>1.2240407623910334</v>
      </c>
    </row>
    <row r="250" spans="1:15" x14ac:dyDescent="0.35">
      <c r="A250" s="28">
        <v>12136</v>
      </c>
      <c r="C250" s="13" t="s">
        <v>132</v>
      </c>
      <c r="D250" t="s">
        <v>15</v>
      </c>
      <c r="E250">
        <v>19.600000000000001</v>
      </c>
      <c r="F250">
        <v>200</v>
      </c>
      <c r="G250">
        <v>12.7</v>
      </c>
      <c r="H250">
        <f>Table1[[#This Row],[Total electrode weight (mg)]] - IF(ROW()&lt;40, Constants!$B$2 * PI()*(Table1[[#This Row],[Electrode Diameter(mm)]]/(10*2))^2, Constants!$B$4 * PI()*(Table1[[#This Row],[Electrode Diameter(mm)]]/(10*2))^2)</f>
        <v>15.545073398522277</v>
      </c>
      <c r="I250" s="12">
        <f t="shared" si="3"/>
        <v>14.456918260625718</v>
      </c>
      <c r="J250">
        <f>Table1[[#This Row],[Coating weight (mg)]]/Constants!$C$2</f>
        <v>12.271437892497486</v>
      </c>
      <c r="K250">
        <f>(Table1[[#This Row],[Coating weight (mg)]]/1000)/(((Table1[[#This Row],[Electrode Thickness(µm)]]-Constants!$E$4)*10^-4)*Constants!$C$4)</f>
        <v>0.65273605811156832</v>
      </c>
      <c r="O250">
        <f>AVERAGE(J250:J253)</f>
        <v>12.172761630427987</v>
      </c>
    </row>
    <row r="251" spans="1:15" x14ac:dyDescent="0.35">
      <c r="A251" s="28">
        <v>12137</v>
      </c>
      <c r="C251" s="13" t="s">
        <v>132</v>
      </c>
      <c r="D251" t="s">
        <v>15</v>
      </c>
      <c r="E251">
        <v>19.7</v>
      </c>
      <c r="F251">
        <v>200</v>
      </c>
      <c r="G251">
        <v>12.7</v>
      </c>
      <c r="H251">
        <f>Table1[[#This Row],[Total electrode weight (mg)]] - IF(ROW()&lt;40, Constants!$B$2 * PI()*(Table1[[#This Row],[Electrode Diameter(mm)]]/(10*2))^2, Constants!$B$4 * PI()*(Table1[[#This Row],[Electrode Diameter(mm)]]/(10*2))^2)</f>
        <v>15.645073398522275</v>
      </c>
      <c r="I251" s="12">
        <f t="shared" si="3"/>
        <v>14.549918260625716</v>
      </c>
      <c r="J251">
        <f>Table1[[#This Row],[Coating weight (mg)]]/Constants!$C$2</f>
        <v>12.350378902153084</v>
      </c>
      <c r="K251">
        <f>(Table1[[#This Row],[Coating weight (mg)]]/1000)/(((Table1[[#This Row],[Electrode Thickness(µm)]]-Constants!$E$4)*10^-4)*Constants!$C$4)</f>
        <v>0.65693504798686608</v>
      </c>
      <c r="O251">
        <f>_xlfn.STDEV.P(J250:J253)</f>
        <v>0.21887453735956114</v>
      </c>
    </row>
    <row r="252" spans="1:15" x14ac:dyDescent="0.35">
      <c r="A252" s="28">
        <v>12138</v>
      </c>
      <c r="C252" s="13" t="s">
        <v>132</v>
      </c>
      <c r="D252" t="s">
        <v>15</v>
      </c>
      <c r="E252">
        <v>19.600000000000001</v>
      </c>
      <c r="F252">
        <v>200</v>
      </c>
      <c r="G252">
        <v>12.7</v>
      </c>
      <c r="H252">
        <f>Table1[[#This Row],[Total electrode weight (mg)]] - IF(ROW()&lt;40, Constants!$B$2 * PI()*(Table1[[#This Row],[Electrode Diameter(mm)]]/(10*2))^2, Constants!$B$4 * PI()*(Table1[[#This Row],[Electrode Diameter(mm)]]/(10*2))^2)</f>
        <v>15.545073398522277</v>
      </c>
      <c r="I252" s="12">
        <f t="shared" si="3"/>
        <v>14.456918260625718</v>
      </c>
      <c r="J252">
        <f>Table1[[#This Row],[Coating weight (mg)]]/Constants!$C$2</f>
        <v>12.271437892497486</v>
      </c>
      <c r="K252">
        <f>(Table1[[#This Row],[Coating weight (mg)]]/1000)/(((Table1[[#This Row],[Electrode Thickness(µm)]]-Constants!$E$4)*10^-4)*Constants!$C$4)</f>
        <v>0.65273605811156832</v>
      </c>
    </row>
    <row r="253" spans="1:15" x14ac:dyDescent="0.35">
      <c r="A253" s="28">
        <v>12139</v>
      </c>
      <c r="C253" s="13" t="s">
        <v>132</v>
      </c>
      <c r="D253" t="s">
        <v>15</v>
      </c>
      <c r="E253">
        <v>19</v>
      </c>
      <c r="F253">
        <v>200</v>
      </c>
      <c r="G253">
        <v>12.7</v>
      </c>
      <c r="H253">
        <f>Table1[[#This Row],[Total electrode weight (mg)]] - IF(ROW()&lt;40, Constants!$B$2 * PI()*(Table1[[#This Row],[Electrode Diameter(mm)]]/(10*2))^2, Constants!$B$4 * PI()*(Table1[[#This Row],[Electrode Diameter(mm)]]/(10*2))^2)</f>
        <v>14.945073398522275</v>
      </c>
      <c r="I253" s="12">
        <f t="shared" si="3"/>
        <v>13.898918260625717</v>
      </c>
      <c r="J253">
        <f>Table1[[#This Row],[Coating weight (mg)]]/Constants!$C$2</f>
        <v>11.797791834563888</v>
      </c>
      <c r="K253">
        <f>(Table1[[#This Row],[Coating weight (mg)]]/1000)/(((Table1[[#This Row],[Electrode Thickness(µm)]]-Constants!$E$4)*10^-4)*Constants!$C$4)</f>
        <v>0.62754211885978128</v>
      </c>
    </row>
    <row r="254" spans="1:15" x14ac:dyDescent="0.35">
      <c r="A254" s="28">
        <v>12140</v>
      </c>
      <c r="C254" s="13" t="s">
        <v>132</v>
      </c>
      <c r="D254" t="s">
        <v>15</v>
      </c>
      <c r="E254">
        <v>19.100000000000001</v>
      </c>
      <c r="F254">
        <v>200</v>
      </c>
      <c r="G254">
        <v>12.7</v>
      </c>
      <c r="H254">
        <f>Table1[[#This Row],[Total electrode weight (mg)]] - IF(ROW()&lt;40, Constants!$B$2 * PI()*(Table1[[#This Row],[Electrode Diameter(mm)]]/(10*2))^2, Constants!$B$4 * PI()*(Table1[[#This Row],[Electrode Diameter(mm)]]/(10*2))^2)</f>
        <v>15.045073398522277</v>
      </c>
      <c r="I254" s="12">
        <f t="shared" si="3"/>
        <v>13.991918260625718</v>
      </c>
      <c r="J254">
        <f>Table1[[#This Row],[Coating weight (mg)]]/Constants!$C$2</f>
        <v>11.876732844219488</v>
      </c>
      <c r="K254">
        <f>(Table1[[#This Row],[Coating weight (mg)]]/1000)/(((Table1[[#This Row],[Electrode Thickness(µm)]]-Constants!$E$4)*10^-4)*Constants!$C$4)</f>
        <v>0.63174110873507916</v>
      </c>
    </row>
    <row r="255" spans="1:15" x14ac:dyDescent="0.35">
      <c r="A255" s="28">
        <v>12141</v>
      </c>
      <c r="C255" s="13" t="s">
        <v>133</v>
      </c>
      <c r="D255" t="s">
        <v>15</v>
      </c>
      <c r="E255">
        <v>18</v>
      </c>
      <c r="F255">
        <v>200</v>
      </c>
      <c r="G255">
        <v>12.7</v>
      </c>
      <c r="H255">
        <f>Table1[[#This Row],[Total electrode weight (mg)]] - IF(ROW()&lt;40, Constants!$B$2 * PI()*(Table1[[#This Row],[Electrode Diameter(mm)]]/(10*2))^2, Constants!$B$4 * PI()*(Table1[[#This Row],[Electrode Diameter(mm)]]/(10*2))^2)</f>
        <v>13.945073398522275</v>
      </c>
      <c r="I255" s="12">
        <f t="shared" si="3"/>
        <v>12.968918260625717</v>
      </c>
      <c r="J255">
        <f>Table1[[#This Row],[Coating weight (mg)]]/Constants!$C$2</f>
        <v>11.008381738007893</v>
      </c>
      <c r="K255">
        <f>(Table1[[#This Row],[Coating weight (mg)]]/1000)/(((Table1[[#This Row],[Electrode Thickness(µm)]]-Constants!$E$4)*10^-4)*Constants!$C$4)</f>
        <v>0.58555222010680286</v>
      </c>
      <c r="O255">
        <f>AVERAGE(J256:J258)</f>
        <v>11.903046514104686</v>
      </c>
    </row>
    <row r="256" spans="1:15" x14ac:dyDescent="0.35">
      <c r="A256" s="28">
        <v>12142</v>
      </c>
      <c r="C256" s="13" t="s">
        <v>133</v>
      </c>
      <c r="D256" t="s">
        <v>15</v>
      </c>
      <c r="E256">
        <v>19.2</v>
      </c>
      <c r="F256">
        <v>200</v>
      </c>
      <c r="G256">
        <v>12.7</v>
      </c>
      <c r="H256">
        <f>Table1[[#This Row],[Total electrode weight (mg)]] - IF(ROW()&lt;40, Constants!$B$2 * PI()*(Table1[[#This Row],[Electrode Diameter(mm)]]/(10*2))^2, Constants!$B$4 * PI()*(Table1[[#This Row],[Electrode Diameter(mm)]]/(10*2))^2)</f>
        <v>15.145073398522275</v>
      </c>
      <c r="I256" s="12">
        <f t="shared" si="3"/>
        <v>14.084918260625717</v>
      </c>
      <c r="J256">
        <f>Table1[[#This Row],[Coating weight (mg)]]/Constants!$C$2</f>
        <v>11.955673853875085</v>
      </c>
      <c r="K256">
        <f>(Table1[[#This Row],[Coating weight (mg)]]/1000)/(((Table1[[#This Row],[Electrode Thickness(µm)]]-Constants!$E$4)*10^-4)*Constants!$C$4)</f>
        <v>0.63594009861037692</v>
      </c>
      <c r="O256">
        <f>_xlfn.STDEV.P(J256:J258)</f>
        <v>0.13417391621887312</v>
      </c>
    </row>
    <row r="257" spans="1:15" x14ac:dyDescent="0.35">
      <c r="A257" s="28">
        <v>12143</v>
      </c>
      <c r="C257" s="13" t="s">
        <v>133</v>
      </c>
      <c r="D257" t="s">
        <v>15</v>
      </c>
      <c r="E257">
        <v>18.899999999999999</v>
      </c>
      <c r="F257">
        <v>200</v>
      </c>
      <c r="G257">
        <v>12.7</v>
      </c>
      <c r="H257">
        <f>Table1[[#This Row],[Total electrode weight (mg)]] - IF(ROW()&lt;40, Constants!$B$2 * PI()*(Table1[[#This Row],[Electrode Diameter(mm)]]/(10*2))^2, Constants!$B$4 * PI()*(Table1[[#This Row],[Electrode Diameter(mm)]]/(10*2))^2)</f>
        <v>14.845073398522274</v>
      </c>
      <c r="I257" s="12">
        <f t="shared" si="3"/>
        <v>13.805918260625715</v>
      </c>
      <c r="J257">
        <f>Table1[[#This Row],[Coating weight (mg)]]/Constants!$C$2</f>
        <v>11.718850824908287</v>
      </c>
      <c r="K257">
        <f>(Table1[[#This Row],[Coating weight (mg)]]/1000)/(((Table1[[#This Row],[Electrode Thickness(µm)]]-Constants!$E$4)*10^-4)*Constants!$C$4)</f>
        <v>0.62334312898448341</v>
      </c>
    </row>
    <row r="258" spans="1:15" x14ac:dyDescent="0.35">
      <c r="A258" s="28">
        <v>12144</v>
      </c>
      <c r="C258" s="13" t="s">
        <v>133</v>
      </c>
      <c r="D258" t="s">
        <v>15</v>
      </c>
      <c r="E258">
        <v>19.3</v>
      </c>
      <c r="F258">
        <v>200</v>
      </c>
      <c r="G258">
        <v>12.7</v>
      </c>
      <c r="H258">
        <f>Table1[[#This Row],[Total electrode weight (mg)]] - IF(ROW()&lt;40, Constants!$B$2 * PI()*(Table1[[#This Row],[Electrode Diameter(mm)]]/(10*2))^2, Constants!$B$4 * PI()*(Table1[[#This Row],[Electrode Diameter(mm)]]/(10*2))^2)</f>
        <v>15.245073398522276</v>
      </c>
      <c r="I258" s="12">
        <f t="shared" si="3"/>
        <v>14.177918260625718</v>
      </c>
      <c r="J258">
        <f>Table1[[#This Row],[Coating weight (mg)]]/Constants!$C$2</f>
        <v>12.034614863530686</v>
      </c>
      <c r="K258">
        <f>(Table1[[#This Row],[Coating weight (mg)]]/1000)/(((Table1[[#This Row],[Electrode Thickness(µm)]]-Constants!$E$4)*10^-4)*Constants!$C$4)</f>
        <v>0.6401390884856748</v>
      </c>
    </row>
    <row r="259" spans="1:15" x14ac:dyDescent="0.35">
      <c r="A259" s="28">
        <v>12145</v>
      </c>
      <c r="C259" s="13" t="s">
        <v>133</v>
      </c>
      <c r="D259" t="s">
        <v>15</v>
      </c>
      <c r="E259">
        <v>18.8</v>
      </c>
      <c r="F259">
        <v>200</v>
      </c>
      <c r="G259">
        <v>12.7</v>
      </c>
      <c r="H259">
        <f>Table1[[#This Row],[Total electrode weight (mg)]] - IF(ROW()&lt;40, Constants!$B$2 * PI()*(Table1[[#This Row],[Electrode Diameter(mm)]]/(10*2))^2, Constants!$B$4 * PI()*(Table1[[#This Row],[Electrode Diameter(mm)]]/(10*2))^2)</f>
        <v>14.745073398522276</v>
      </c>
      <c r="I259" s="12">
        <f t="shared" ref="I259:I322" si="4">IF(D259="", "", IF(D259="RnD", H259*0.85, IF(D259="Production", H259*0.93, "Invalid")))</f>
        <v>13.712918260625717</v>
      </c>
      <c r="J259">
        <f>Table1[[#This Row],[Coating weight (mg)]]/Constants!$C$2</f>
        <v>11.63990981525269</v>
      </c>
      <c r="K259">
        <f>(Table1[[#This Row],[Coating weight (mg)]]/1000)/(((Table1[[#This Row],[Electrode Thickness(µm)]]-Constants!$E$4)*10^-4)*Constants!$C$4)</f>
        <v>0.61914413910918564</v>
      </c>
    </row>
    <row r="260" spans="1:15" x14ac:dyDescent="0.35">
      <c r="A260" s="28">
        <v>12155</v>
      </c>
      <c r="C260" s="13" t="s">
        <v>134</v>
      </c>
      <c r="D260" t="s">
        <v>15</v>
      </c>
      <c r="E260">
        <v>18.899999999999999</v>
      </c>
      <c r="G260">
        <v>12.7</v>
      </c>
      <c r="H260">
        <f>Table1[[#This Row],[Total electrode weight (mg)]] - IF(ROW()&lt;40, Constants!$B$2 * PI()*(Table1[[#This Row],[Electrode Diameter(mm)]]/(10*2))^2, Constants!$B$4 * PI()*(Table1[[#This Row],[Electrode Diameter(mm)]]/(10*2))^2)</f>
        <v>14.845073398522274</v>
      </c>
      <c r="I260" s="12">
        <f t="shared" si="4"/>
        <v>13.805918260625715</v>
      </c>
      <c r="J260">
        <f>Table1[[#This Row],[Coating weight (mg)]]/Constants!$C$2</f>
        <v>11.718850824908287</v>
      </c>
      <c r="K260">
        <f>(Table1[[#This Row],[Coating weight (mg)]]/1000)/(((Table1[[#This Row],[Electrode Thickness(µm)]]-Constants!$E$4)*10^-4)*Constants!$C$4)</f>
        <v>-9.7657090207569048</v>
      </c>
      <c r="O260" s="12">
        <f>AVERAGE(I260:I287)</f>
        <v>14.530986117768574</v>
      </c>
    </row>
    <row r="261" spans="1:15" x14ac:dyDescent="0.35">
      <c r="A261" s="28">
        <v>12156</v>
      </c>
      <c r="C261" s="13" t="s">
        <v>134</v>
      </c>
      <c r="D261" t="s">
        <v>15</v>
      </c>
      <c r="E261">
        <v>19.100000000000001</v>
      </c>
      <c r="G261">
        <v>12.7</v>
      </c>
      <c r="H261">
        <f>Table1[[#This Row],[Total electrode weight (mg)]] - IF(ROW()&lt;40, Constants!$B$2 * PI()*(Table1[[#This Row],[Electrode Diameter(mm)]]/(10*2))^2, Constants!$B$4 * PI()*(Table1[[#This Row],[Electrode Diameter(mm)]]/(10*2))^2)</f>
        <v>15.045073398522277</v>
      </c>
      <c r="I261" s="12">
        <f t="shared" si="4"/>
        <v>13.991918260625718</v>
      </c>
      <c r="J261">
        <f>Table1[[#This Row],[Coating weight (mg)]]/Constants!$C$2</f>
        <v>11.876732844219488</v>
      </c>
      <c r="K261">
        <f>(Table1[[#This Row],[Coating weight (mg)]]/1000)/(((Table1[[#This Row],[Electrode Thickness(µm)]]-Constants!$E$4)*10^-4)*Constants!$C$4)</f>
        <v>-9.8972773701829055</v>
      </c>
    </row>
    <row r="262" spans="1:15" x14ac:dyDescent="0.35">
      <c r="A262" s="28">
        <v>12157</v>
      </c>
      <c r="C262" s="13" t="s">
        <v>134</v>
      </c>
      <c r="D262" t="s">
        <v>15</v>
      </c>
      <c r="E262">
        <v>19.7</v>
      </c>
      <c r="G262">
        <v>12.7</v>
      </c>
      <c r="H262">
        <f>Table1[[#This Row],[Total electrode weight (mg)]] - IF(ROW()&lt;40, Constants!$B$2 * PI()*(Table1[[#This Row],[Electrode Diameter(mm)]]/(10*2))^2, Constants!$B$4 * PI()*(Table1[[#This Row],[Electrode Diameter(mm)]]/(10*2))^2)</f>
        <v>15.645073398522275</v>
      </c>
      <c r="I262" s="12">
        <f t="shared" si="4"/>
        <v>14.549918260625716</v>
      </c>
      <c r="J262">
        <f>Table1[[#This Row],[Coating weight (mg)]]/Constants!$C$2</f>
        <v>12.350378902153084</v>
      </c>
      <c r="K262">
        <f>(Table1[[#This Row],[Coating weight (mg)]]/1000)/(((Table1[[#This Row],[Electrode Thickness(µm)]]-Constants!$E$4)*10^-4)*Constants!$C$4)</f>
        <v>-10.291982418460901</v>
      </c>
    </row>
    <row r="263" spans="1:15" x14ac:dyDescent="0.35">
      <c r="A263" s="28">
        <v>12158</v>
      </c>
      <c r="C263" s="13" t="s">
        <v>134</v>
      </c>
      <c r="D263" t="s">
        <v>15</v>
      </c>
      <c r="E263">
        <v>19.7</v>
      </c>
      <c r="G263">
        <v>12.7</v>
      </c>
      <c r="H263">
        <f>Table1[[#This Row],[Total electrode weight (mg)]] - IF(ROW()&lt;40, Constants!$B$2 * PI()*(Table1[[#This Row],[Electrode Diameter(mm)]]/(10*2))^2, Constants!$B$4 * PI()*(Table1[[#This Row],[Electrode Diameter(mm)]]/(10*2))^2)</f>
        <v>15.645073398522275</v>
      </c>
      <c r="I263" s="12">
        <f t="shared" si="4"/>
        <v>14.549918260625716</v>
      </c>
      <c r="J263">
        <f>Table1[[#This Row],[Coating weight (mg)]]/Constants!$C$2</f>
        <v>12.350378902153084</v>
      </c>
      <c r="K263">
        <f>(Table1[[#This Row],[Coating weight (mg)]]/1000)/(((Table1[[#This Row],[Electrode Thickness(µm)]]-Constants!$E$4)*10^-4)*Constants!$C$4)</f>
        <v>-10.291982418460901</v>
      </c>
    </row>
    <row r="264" spans="1:15" x14ac:dyDescent="0.35">
      <c r="A264" s="28">
        <v>12159</v>
      </c>
      <c r="C264" s="13" t="s">
        <v>134</v>
      </c>
      <c r="D264" t="s">
        <v>15</v>
      </c>
      <c r="E264">
        <v>19.7</v>
      </c>
      <c r="G264">
        <v>12.7</v>
      </c>
      <c r="H264">
        <f>Table1[[#This Row],[Total electrode weight (mg)]] - IF(ROW()&lt;40, Constants!$B$2 * PI()*(Table1[[#This Row],[Electrode Diameter(mm)]]/(10*2))^2, Constants!$B$4 * PI()*(Table1[[#This Row],[Electrode Diameter(mm)]]/(10*2))^2)</f>
        <v>15.645073398522275</v>
      </c>
      <c r="I264" s="12">
        <f t="shared" si="4"/>
        <v>14.549918260625716</v>
      </c>
      <c r="J264">
        <f>Table1[[#This Row],[Coating weight (mg)]]/Constants!$C$2</f>
        <v>12.350378902153084</v>
      </c>
      <c r="K264">
        <f>(Table1[[#This Row],[Coating weight (mg)]]/1000)/(((Table1[[#This Row],[Electrode Thickness(µm)]]-Constants!$E$4)*10^-4)*Constants!$C$4)</f>
        <v>-10.291982418460901</v>
      </c>
    </row>
    <row r="265" spans="1:15" x14ac:dyDescent="0.35">
      <c r="A265" s="28">
        <v>12160</v>
      </c>
      <c r="C265" s="13" t="s">
        <v>134</v>
      </c>
      <c r="D265" t="s">
        <v>15</v>
      </c>
      <c r="E265">
        <v>18.7</v>
      </c>
      <c r="G265">
        <v>12.7</v>
      </c>
      <c r="H265">
        <f>Table1[[#This Row],[Total electrode weight (mg)]] - IF(ROW()&lt;40, Constants!$B$2 * PI()*(Table1[[#This Row],[Electrode Diameter(mm)]]/(10*2))^2, Constants!$B$4 * PI()*(Table1[[#This Row],[Electrode Diameter(mm)]]/(10*2))^2)</f>
        <v>14.645073398522275</v>
      </c>
      <c r="I265" s="12">
        <f t="shared" si="4"/>
        <v>13.619918260625717</v>
      </c>
      <c r="J265">
        <f>Table1[[#This Row],[Coating weight (mg)]]/Constants!$C$2</f>
        <v>11.560968805597089</v>
      </c>
      <c r="K265">
        <f>(Table1[[#This Row],[Coating weight (mg)]]/1000)/(((Table1[[#This Row],[Electrode Thickness(µm)]]-Constants!$E$4)*10^-4)*Constants!$C$4)</f>
        <v>-9.6341406713309059</v>
      </c>
    </row>
    <row r="266" spans="1:15" x14ac:dyDescent="0.35">
      <c r="A266" s="28">
        <v>12161</v>
      </c>
      <c r="C266" s="13" t="s">
        <v>134</v>
      </c>
      <c r="D266" t="s">
        <v>15</v>
      </c>
      <c r="E266">
        <v>21.8</v>
      </c>
      <c r="G266">
        <v>12.7</v>
      </c>
      <c r="H266">
        <f>Table1[[#This Row],[Total electrode weight (mg)]] - IF(ROW()&lt;40, Constants!$B$2 * PI()*(Table1[[#This Row],[Electrode Diameter(mm)]]/(10*2))^2, Constants!$B$4 * PI()*(Table1[[#This Row],[Electrode Diameter(mm)]]/(10*2))^2)</f>
        <v>17.745073398522276</v>
      </c>
      <c r="I266" s="12">
        <f t="shared" si="4"/>
        <v>16.502918260625719</v>
      </c>
      <c r="J266">
        <f>Table1[[#This Row],[Coating weight (mg)]]/Constants!$C$2</f>
        <v>14.008140104920672</v>
      </c>
      <c r="K266">
        <f>(Table1[[#This Row],[Coating weight (mg)]]/1000)/(((Table1[[#This Row],[Electrode Thickness(µm)]]-Constants!$E$4)*10^-4)*Constants!$C$4)</f>
        <v>-11.673450087433892</v>
      </c>
    </row>
    <row r="267" spans="1:15" x14ac:dyDescent="0.35">
      <c r="A267" s="28">
        <v>12162</v>
      </c>
      <c r="C267" s="13" t="s">
        <v>134</v>
      </c>
      <c r="D267" t="s">
        <v>15</v>
      </c>
      <c r="E267">
        <v>19.7</v>
      </c>
      <c r="G267">
        <v>12.7</v>
      </c>
      <c r="H267">
        <f>Table1[[#This Row],[Total electrode weight (mg)]] - IF(ROW()&lt;40, Constants!$B$2 * PI()*(Table1[[#This Row],[Electrode Diameter(mm)]]/(10*2))^2, Constants!$B$4 * PI()*(Table1[[#This Row],[Electrode Diameter(mm)]]/(10*2))^2)</f>
        <v>15.645073398522275</v>
      </c>
      <c r="I267" s="12">
        <f t="shared" si="4"/>
        <v>14.549918260625716</v>
      </c>
      <c r="J267">
        <f>Table1[[#This Row],[Coating weight (mg)]]/Constants!$C$2</f>
        <v>12.350378902153084</v>
      </c>
      <c r="K267">
        <f>(Table1[[#This Row],[Coating weight (mg)]]/1000)/(((Table1[[#This Row],[Electrode Thickness(µm)]]-Constants!$E$4)*10^-4)*Constants!$C$4)</f>
        <v>-10.291982418460901</v>
      </c>
    </row>
    <row r="268" spans="1:15" x14ac:dyDescent="0.35">
      <c r="A268" s="28">
        <v>12163</v>
      </c>
      <c r="C268" s="13" t="s">
        <v>134</v>
      </c>
      <c r="D268" t="s">
        <v>15</v>
      </c>
      <c r="E268">
        <v>19.7</v>
      </c>
      <c r="G268">
        <v>12.7</v>
      </c>
      <c r="H268">
        <f>Table1[[#This Row],[Total electrode weight (mg)]] - IF(ROW()&lt;40, Constants!$B$2 * PI()*(Table1[[#This Row],[Electrode Diameter(mm)]]/(10*2))^2, Constants!$B$4 * PI()*(Table1[[#This Row],[Electrode Diameter(mm)]]/(10*2))^2)</f>
        <v>15.645073398522275</v>
      </c>
      <c r="I268" s="12">
        <f t="shared" si="4"/>
        <v>14.549918260625716</v>
      </c>
      <c r="J268">
        <f>Table1[[#This Row],[Coating weight (mg)]]/Constants!$C$2</f>
        <v>12.350378902153084</v>
      </c>
      <c r="K268">
        <f>(Table1[[#This Row],[Coating weight (mg)]]/1000)/(((Table1[[#This Row],[Electrode Thickness(µm)]]-Constants!$E$4)*10^-4)*Constants!$C$4)</f>
        <v>-10.291982418460901</v>
      </c>
    </row>
    <row r="269" spans="1:15" x14ac:dyDescent="0.35">
      <c r="A269" s="28">
        <v>12164</v>
      </c>
      <c r="C269" s="13" t="s">
        <v>134</v>
      </c>
      <c r="D269" t="s">
        <v>15</v>
      </c>
      <c r="E269">
        <v>18.600000000000001</v>
      </c>
      <c r="G269">
        <v>12.7</v>
      </c>
      <c r="H269">
        <f>Table1[[#This Row],[Total electrode weight (mg)]] - IF(ROW()&lt;40, Constants!$B$2 * PI()*(Table1[[#This Row],[Electrode Diameter(mm)]]/(10*2))^2, Constants!$B$4 * PI()*(Table1[[#This Row],[Electrode Diameter(mm)]]/(10*2))^2)</f>
        <v>14.545073398522277</v>
      </c>
      <c r="I269" s="12">
        <f t="shared" si="4"/>
        <v>13.526918260625719</v>
      </c>
      <c r="J269">
        <f>Table1[[#This Row],[Coating weight (mg)]]/Constants!$C$2</f>
        <v>11.482027795941491</v>
      </c>
      <c r="K269">
        <f>(Table1[[#This Row],[Coating weight (mg)]]/1000)/(((Table1[[#This Row],[Electrode Thickness(µm)]]-Constants!$E$4)*10^-4)*Constants!$C$4)</f>
        <v>-9.5683564966179073</v>
      </c>
    </row>
    <row r="270" spans="1:15" x14ac:dyDescent="0.35">
      <c r="A270" s="28">
        <v>12165</v>
      </c>
      <c r="C270" s="13" t="s">
        <v>134</v>
      </c>
      <c r="D270" t="s">
        <v>15</v>
      </c>
      <c r="E270">
        <v>19.89</v>
      </c>
      <c r="G270">
        <v>12.7</v>
      </c>
      <c r="H270">
        <f>Table1[[#This Row],[Total electrode weight (mg)]] - IF(ROW()&lt;40, Constants!$B$2 * PI()*(Table1[[#This Row],[Electrode Diameter(mm)]]/(10*2))^2, Constants!$B$4 * PI()*(Table1[[#This Row],[Electrode Diameter(mm)]]/(10*2))^2)</f>
        <v>15.835073398522276</v>
      </c>
      <c r="I270" s="12">
        <f t="shared" si="4"/>
        <v>14.726618260625717</v>
      </c>
      <c r="J270">
        <f>Table1[[#This Row],[Coating weight (mg)]]/Constants!$C$2</f>
        <v>12.500366820498723</v>
      </c>
      <c r="K270">
        <f>(Table1[[#This Row],[Coating weight (mg)]]/1000)/(((Table1[[#This Row],[Electrode Thickness(µm)]]-Constants!$E$4)*10^-4)*Constants!$C$4)</f>
        <v>-10.416972350415602</v>
      </c>
    </row>
    <row r="271" spans="1:15" x14ac:dyDescent="0.35">
      <c r="A271" s="28">
        <v>12166</v>
      </c>
      <c r="C271" s="13" t="s">
        <v>134</v>
      </c>
      <c r="D271" t="s">
        <v>15</v>
      </c>
      <c r="E271">
        <v>20.440000000000001</v>
      </c>
      <c r="G271">
        <v>12.7</v>
      </c>
      <c r="H271">
        <f>Table1[[#This Row],[Total electrode weight (mg)]] - IF(ROW()&lt;40, Constants!$B$2 * PI()*(Table1[[#This Row],[Electrode Diameter(mm)]]/(10*2))^2, Constants!$B$4 * PI()*(Table1[[#This Row],[Electrode Diameter(mm)]]/(10*2))^2)</f>
        <v>16.385073398522277</v>
      </c>
      <c r="I271" s="12">
        <f t="shared" si="4"/>
        <v>15.238118260625718</v>
      </c>
      <c r="J271">
        <f>Table1[[#This Row],[Coating weight (mg)]]/Constants!$C$2</f>
        <v>12.93454237360452</v>
      </c>
      <c r="K271">
        <f>(Table1[[#This Row],[Coating weight (mg)]]/1000)/(((Table1[[#This Row],[Electrode Thickness(µm)]]-Constants!$E$4)*10^-4)*Constants!$C$4)</f>
        <v>-10.778785311337099</v>
      </c>
    </row>
    <row r="272" spans="1:15" x14ac:dyDescent="0.35">
      <c r="A272" s="28">
        <v>12167</v>
      </c>
      <c r="C272" s="13" t="s">
        <v>134</v>
      </c>
      <c r="D272" t="s">
        <v>15</v>
      </c>
      <c r="E272">
        <v>19.600000000000001</v>
      </c>
      <c r="G272">
        <v>12.7</v>
      </c>
      <c r="H272">
        <f>Table1[[#This Row],[Total electrode weight (mg)]] - IF(ROW()&lt;40, Constants!$B$2 * PI()*(Table1[[#This Row],[Electrode Diameter(mm)]]/(10*2))^2, Constants!$B$4 * PI()*(Table1[[#This Row],[Electrode Diameter(mm)]]/(10*2))^2)</f>
        <v>15.545073398522277</v>
      </c>
      <c r="I272" s="12">
        <f t="shared" si="4"/>
        <v>14.456918260625718</v>
      </c>
      <c r="J272">
        <f>Table1[[#This Row],[Coating weight (mg)]]/Constants!$C$2</f>
        <v>12.271437892497486</v>
      </c>
      <c r="K272">
        <f>(Table1[[#This Row],[Coating weight (mg)]]/1000)/(((Table1[[#This Row],[Electrode Thickness(µm)]]-Constants!$E$4)*10^-4)*Constants!$C$4)</f>
        <v>-10.226198243747904</v>
      </c>
    </row>
    <row r="273" spans="1:11" x14ac:dyDescent="0.35">
      <c r="A273" s="28">
        <v>12168</v>
      </c>
      <c r="C273" s="13" t="s">
        <v>134</v>
      </c>
      <c r="D273" t="s">
        <v>15</v>
      </c>
      <c r="E273">
        <v>19.899999999999999</v>
      </c>
      <c r="G273">
        <v>12.7</v>
      </c>
      <c r="H273">
        <f>Table1[[#This Row],[Total electrode weight (mg)]] - IF(ROW()&lt;40, Constants!$B$2 * PI()*(Table1[[#This Row],[Electrode Diameter(mm)]]/(10*2))^2, Constants!$B$4 * PI()*(Table1[[#This Row],[Electrode Diameter(mm)]]/(10*2))^2)</f>
        <v>15.845073398522274</v>
      </c>
      <c r="I273" s="12">
        <f t="shared" si="4"/>
        <v>14.735918260625716</v>
      </c>
      <c r="J273">
        <f>Table1[[#This Row],[Coating weight (mg)]]/Constants!$C$2</f>
        <v>12.508260921464281</v>
      </c>
      <c r="K273">
        <f>(Table1[[#This Row],[Coating weight (mg)]]/1000)/(((Table1[[#This Row],[Electrode Thickness(µm)]]-Constants!$E$4)*10^-4)*Constants!$C$4)</f>
        <v>-10.423550767886901</v>
      </c>
    </row>
    <row r="274" spans="1:11" x14ac:dyDescent="0.35">
      <c r="A274" s="28">
        <v>12169</v>
      </c>
      <c r="C274" s="13" t="s">
        <v>134</v>
      </c>
      <c r="D274" t="s">
        <v>15</v>
      </c>
      <c r="E274">
        <v>19.2</v>
      </c>
      <c r="G274">
        <v>12.7</v>
      </c>
      <c r="H274">
        <f>Table1[[#This Row],[Total electrode weight (mg)]] - IF(ROW()&lt;40, Constants!$B$2 * PI()*(Table1[[#This Row],[Electrode Diameter(mm)]]/(10*2))^2, Constants!$B$4 * PI()*(Table1[[#This Row],[Electrode Diameter(mm)]]/(10*2))^2)</f>
        <v>15.145073398522275</v>
      </c>
      <c r="I274" s="12">
        <f t="shared" si="4"/>
        <v>14.084918260625717</v>
      </c>
      <c r="J274">
        <f>Table1[[#This Row],[Coating weight (mg)]]/Constants!$C$2</f>
        <v>11.955673853875085</v>
      </c>
      <c r="K274">
        <f>(Table1[[#This Row],[Coating weight (mg)]]/1000)/(((Table1[[#This Row],[Electrode Thickness(µm)]]-Constants!$E$4)*10^-4)*Constants!$C$4)</f>
        <v>-9.9630615448959041</v>
      </c>
    </row>
    <row r="275" spans="1:11" x14ac:dyDescent="0.35">
      <c r="A275" s="28">
        <v>12170</v>
      </c>
      <c r="C275" s="13" t="s">
        <v>134</v>
      </c>
      <c r="D275" t="s">
        <v>15</v>
      </c>
      <c r="E275">
        <v>19.399999999999999</v>
      </c>
      <c r="G275">
        <v>12.7</v>
      </c>
      <c r="H275">
        <f>Table1[[#This Row],[Total electrode weight (mg)]] - IF(ROW()&lt;40, Constants!$B$2 * PI()*(Table1[[#This Row],[Electrode Diameter(mm)]]/(10*2))^2, Constants!$B$4 * PI()*(Table1[[#This Row],[Electrode Diameter(mm)]]/(10*2))^2)</f>
        <v>15.345073398522274</v>
      </c>
      <c r="I275" s="12">
        <f t="shared" si="4"/>
        <v>14.270918260625715</v>
      </c>
      <c r="J275">
        <f>Table1[[#This Row],[Coating weight (mg)]]/Constants!$C$2</f>
        <v>12.113555873186284</v>
      </c>
      <c r="K275">
        <f>(Table1[[#This Row],[Coating weight (mg)]]/1000)/(((Table1[[#This Row],[Electrode Thickness(µm)]]-Constants!$E$4)*10^-4)*Constants!$C$4)</f>
        <v>-10.094629894321901</v>
      </c>
    </row>
    <row r="276" spans="1:11" x14ac:dyDescent="0.35">
      <c r="A276" s="28">
        <v>12171</v>
      </c>
      <c r="C276" s="13" t="s">
        <v>134</v>
      </c>
      <c r="D276" t="s">
        <v>15</v>
      </c>
      <c r="E276">
        <v>19.600000000000001</v>
      </c>
      <c r="G276">
        <v>12.7</v>
      </c>
      <c r="H276">
        <f>Table1[[#This Row],[Total electrode weight (mg)]] - IF(ROW()&lt;40, Constants!$B$2 * PI()*(Table1[[#This Row],[Electrode Diameter(mm)]]/(10*2))^2, Constants!$B$4 * PI()*(Table1[[#This Row],[Electrode Diameter(mm)]]/(10*2))^2)</f>
        <v>15.545073398522277</v>
      </c>
      <c r="I276" s="12">
        <f t="shared" si="4"/>
        <v>14.456918260625718</v>
      </c>
      <c r="J276">
        <f>Table1[[#This Row],[Coating weight (mg)]]/Constants!$C$2</f>
        <v>12.271437892497486</v>
      </c>
      <c r="K276">
        <f>(Table1[[#This Row],[Coating weight (mg)]]/1000)/(((Table1[[#This Row],[Electrode Thickness(µm)]]-Constants!$E$4)*10^-4)*Constants!$C$4)</f>
        <v>-10.226198243747904</v>
      </c>
    </row>
    <row r="277" spans="1:11" x14ac:dyDescent="0.35">
      <c r="A277" s="28">
        <v>12172</v>
      </c>
      <c r="C277" s="13" t="s">
        <v>134</v>
      </c>
      <c r="D277" t="s">
        <v>15</v>
      </c>
      <c r="E277">
        <v>19</v>
      </c>
      <c r="G277">
        <v>12.7</v>
      </c>
      <c r="H277">
        <f>Table1[[#This Row],[Total electrode weight (mg)]] - IF(ROW()&lt;40, Constants!$B$2 * PI()*(Table1[[#This Row],[Electrode Diameter(mm)]]/(10*2))^2, Constants!$B$4 * PI()*(Table1[[#This Row],[Electrode Diameter(mm)]]/(10*2))^2)</f>
        <v>14.945073398522275</v>
      </c>
      <c r="I277" s="12">
        <f t="shared" si="4"/>
        <v>13.898918260625717</v>
      </c>
      <c r="J277">
        <f>Table1[[#This Row],[Coating weight (mg)]]/Constants!$C$2</f>
        <v>11.797791834563888</v>
      </c>
      <c r="K277">
        <f>(Table1[[#This Row],[Coating weight (mg)]]/1000)/(((Table1[[#This Row],[Electrode Thickness(µm)]]-Constants!$E$4)*10^-4)*Constants!$C$4)</f>
        <v>-9.8314931954699052</v>
      </c>
    </row>
    <row r="278" spans="1:11" x14ac:dyDescent="0.35">
      <c r="A278" s="28">
        <v>12173</v>
      </c>
      <c r="C278" s="13" t="s">
        <v>134</v>
      </c>
      <c r="D278" t="s">
        <v>15</v>
      </c>
      <c r="E278">
        <v>19.899999999999999</v>
      </c>
      <c r="G278">
        <v>12.7</v>
      </c>
      <c r="H278">
        <f>Table1[[#This Row],[Total electrode weight (mg)]] - IF(ROW()&lt;40, Constants!$B$2 * PI()*(Table1[[#This Row],[Electrode Diameter(mm)]]/(10*2))^2, Constants!$B$4 * PI()*(Table1[[#This Row],[Electrode Diameter(mm)]]/(10*2))^2)</f>
        <v>15.845073398522274</v>
      </c>
      <c r="I278" s="12">
        <f t="shared" si="4"/>
        <v>14.735918260625716</v>
      </c>
      <c r="J278">
        <f>Table1[[#This Row],[Coating weight (mg)]]/Constants!$C$2</f>
        <v>12.508260921464281</v>
      </c>
      <c r="K278">
        <f>(Table1[[#This Row],[Coating weight (mg)]]/1000)/(((Table1[[#This Row],[Electrode Thickness(µm)]]-Constants!$E$4)*10^-4)*Constants!$C$4)</f>
        <v>-10.423550767886901</v>
      </c>
    </row>
    <row r="279" spans="1:11" x14ac:dyDescent="0.35">
      <c r="A279" s="28">
        <v>12174</v>
      </c>
      <c r="C279" s="13" t="s">
        <v>134</v>
      </c>
      <c r="D279" t="s">
        <v>15</v>
      </c>
      <c r="E279">
        <v>19.600000000000001</v>
      </c>
      <c r="G279">
        <v>12.7</v>
      </c>
      <c r="H279">
        <f>Table1[[#This Row],[Total electrode weight (mg)]] - IF(ROW()&lt;40, Constants!$B$2 * PI()*(Table1[[#This Row],[Electrode Diameter(mm)]]/(10*2))^2, Constants!$B$4 * PI()*(Table1[[#This Row],[Electrode Diameter(mm)]]/(10*2))^2)</f>
        <v>15.545073398522277</v>
      </c>
      <c r="I279" s="12">
        <f t="shared" si="4"/>
        <v>14.456918260625718</v>
      </c>
      <c r="J279">
        <f>Table1[[#This Row],[Coating weight (mg)]]/Constants!$C$2</f>
        <v>12.271437892497486</v>
      </c>
      <c r="K279">
        <f>(Table1[[#This Row],[Coating weight (mg)]]/1000)/(((Table1[[#This Row],[Electrode Thickness(µm)]]-Constants!$E$4)*10^-4)*Constants!$C$4)</f>
        <v>-10.226198243747904</v>
      </c>
    </row>
    <row r="280" spans="1:11" x14ac:dyDescent="0.35">
      <c r="A280" s="28" t="s">
        <v>135</v>
      </c>
      <c r="C280" s="13" t="s">
        <v>134</v>
      </c>
      <c r="D280" t="s">
        <v>15</v>
      </c>
      <c r="E280">
        <v>19.8</v>
      </c>
      <c r="F280">
        <v>200</v>
      </c>
      <c r="G280">
        <v>12.7</v>
      </c>
      <c r="H280">
        <f>Table1[[#This Row],[Total electrode weight (mg)]] - IF(ROW()&lt;40, Constants!$B$2 * PI()*(Table1[[#This Row],[Electrode Diameter(mm)]]/(10*2))^2, Constants!$B$4 * PI()*(Table1[[#This Row],[Electrode Diameter(mm)]]/(10*2))^2)</f>
        <v>15.745073398522276</v>
      </c>
      <c r="I280" s="12">
        <f t="shared" si="4"/>
        <v>14.642918260625718</v>
      </c>
      <c r="J280">
        <f>Table1[[#This Row],[Coating weight (mg)]]/Constants!$C$2</f>
        <v>12.429319911808683</v>
      </c>
      <c r="K280">
        <f>(Table1[[#This Row],[Coating weight (mg)]]/1000)/(((Table1[[#This Row],[Electrode Thickness(µm)]]-Constants!$E$4)*10^-4)*Constants!$C$4)</f>
        <v>0.66113403786216396</v>
      </c>
    </row>
    <row r="281" spans="1:11" x14ac:dyDescent="0.35">
      <c r="A281" s="28" t="s">
        <v>136</v>
      </c>
      <c r="C281" s="13" t="s">
        <v>134</v>
      </c>
      <c r="D281" t="s">
        <v>15</v>
      </c>
      <c r="E281">
        <v>19.600000000000001</v>
      </c>
      <c r="F281">
        <v>200</v>
      </c>
      <c r="G281">
        <v>12.7</v>
      </c>
      <c r="H281">
        <f>Table1[[#This Row],[Total electrode weight (mg)]] - IF(ROW()&lt;40, Constants!$B$2 * PI()*(Table1[[#This Row],[Electrode Diameter(mm)]]/(10*2))^2, Constants!$B$4 * PI()*(Table1[[#This Row],[Electrode Diameter(mm)]]/(10*2))^2)</f>
        <v>15.545073398522277</v>
      </c>
      <c r="I281" s="12">
        <f t="shared" si="4"/>
        <v>14.456918260625718</v>
      </c>
      <c r="J281">
        <f>Table1[[#This Row],[Coating weight (mg)]]/Constants!$C$2</f>
        <v>12.271437892497486</v>
      </c>
      <c r="K281">
        <f>(Table1[[#This Row],[Coating weight (mg)]]/1000)/(((Table1[[#This Row],[Electrode Thickness(µm)]]-Constants!$E$4)*10^-4)*Constants!$C$4)</f>
        <v>0.65273605811156832</v>
      </c>
    </row>
    <row r="282" spans="1:11" x14ac:dyDescent="0.35">
      <c r="A282" s="28" t="s">
        <v>137</v>
      </c>
      <c r="C282" s="13" t="s">
        <v>134</v>
      </c>
      <c r="D282" t="s">
        <v>15</v>
      </c>
      <c r="E282">
        <v>19.8</v>
      </c>
      <c r="F282">
        <v>200</v>
      </c>
      <c r="G282">
        <v>12.7</v>
      </c>
      <c r="H282">
        <f>Table1[[#This Row],[Total electrode weight (mg)]] - IF(ROW()&lt;40, Constants!$B$2 * PI()*(Table1[[#This Row],[Electrode Diameter(mm)]]/(10*2))^2, Constants!$B$4 * PI()*(Table1[[#This Row],[Electrode Diameter(mm)]]/(10*2))^2)</f>
        <v>15.745073398522276</v>
      </c>
      <c r="I282" s="12">
        <f t="shared" si="4"/>
        <v>14.642918260625718</v>
      </c>
      <c r="J282">
        <f>Table1[[#This Row],[Coating weight (mg)]]/Constants!$C$2</f>
        <v>12.429319911808683</v>
      </c>
      <c r="K282">
        <f>(Table1[[#This Row],[Coating weight (mg)]]/1000)/(((Table1[[#This Row],[Electrode Thickness(µm)]]-Constants!$E$4)*10^-4)*Constants!$C$4)</f>
        <v>0.66113403786216396</v>
      </c>
    </row>
    <row r="283" spans="1:11" x14ac:dyDescent="0.35">
      <c r="A283" s="28" t="s">
        <v>138</v>
      </c>
      <c r="C283" s="13" t="s">
        <v>134</v>
      </c>
      <c r="D283" t="s">
        <v>15</v>
      </c>
      <c r="E283">
        <v>19.399999999999999</v>
      </c>
      <c r="F283">
        <v>200</v>
      </c>
      <c r="G283">
        <v>12.7</v>
      </c>
      <c r="H283">
        <f>Table1[[#This Row],[Total electrode weight (mg)]] - IF(ROW()&lt;40, Constants!$B$2 * PI()*(Table1[[#This Row],[Electrode Diameter(mm)]]/(10*2))^2, Constants!$B$4 * PI()*(Table1[[#This Row],[Electrode Diameter(mm)]]/(10*2))^2)</f>
        <v>15.345073398522274</v>
      </c>
      <c r="I283" s="12">
        <f t="shared" si="4"/>
        <v>14.270918260625715</v>
      </c>
      <c r="J283">
        <f>Table1[[#This Row],[Coating weight (mg)]]/Constants!$C$2</f>
        <v>12.113555873186284</v>
      </c>
      <c r="K283">
        <f>(Table1[[#This Row],[Coating weight (mg)]]/1000)/(((Table1[[#This Row],[Electrode Thickness(µm)]]-Constants!$E$4)*10^-4)*Constants!$C$4)</f>
        <v>0.64433807836097245</v>
      </c>
    </row>
    <row r="284" spans="1:11" x14ac:dyDescent="0.35">
      <c r="A284" s="28" t="s">
        <v>139</v>
      </c>
      <c r="C284" s="13" t="s">
        <v>134</v>
      </c>
      <c r="D284" t="s">
        <v>15</v>
      </c>
      <c r="E284">
        <v>19.8</v>
      </c>
      <c r="F284">
        <v>200</v>
      </c>
      <c r="G284">
        <v>12.7</v>
      </c>
      <c r="H284">
        <f>Table1[[#This Row],[Total electrode weight (mg)]] - IF(ROW()&lt;40, Constants!$B$2 * PI()*(Table1[[#This Row],[Electrode Diameter(mm)]]/(10*2))^2, Constants!$B$4 * PI()*(Table1[[#This Row],[Electrode Diameter(mm)]]/(10*2))^2)</f>
        <v>15.745073398522276</v>
      </c>
      <c r="I284" s="12">
        <f t="shared" si="4"/>
        <v>14.642918260625718</v>
      </c>
      <c r="J284">
        <f>Table1[[#This Row],[Coating weight (mg)]]/Constants!$C$2</f>
        <v>12.429319911808683</v>
      </c>
      <c r="K284">
        <f>(Table1[[#This Row],[Coating weight (mg)]]/1000)/(((Table1[[#This Row],[Electrode Thickness(µm)]]-Constants!$E$4)*10^-4)*Constants!$C$4)</f>
        <v>0.66113403786216396</v>
      </c>
    </row>
    <row r="285" spans="1:11" x14ac:dyDescent="0.35">
      <c r="A285" s="28" t="s">
        <v>140</v>
      </c>
      <c r="C285" s="13" t="s">
        <v>134</v>
      </c>
      <c r="D285" t="s">
        <v>15</v>
      </c>
      <c r="E285">
        <v>19.5</v>
      </c>
      <c r="F285">
        <v>200</v>
      </c>
      <c r="G285">
        <v>12.7</v>
      </c>
      <c r="H285">
        <f>Table1[[#This Row],[Total electrode weight (mg)]] - IF(ROW()&lt;40, Constants!$B$2 * PI()*(Table1[[#This Row],[Electrode Diameter(mm)]]/(10*2))^2, Constants!$B$4 * PI()*(Table1[[#This Row],[Electrode Diameter(mm)]]/(10*2))^2)</f>
        <v>15.445073398522275</v>
      </c>
      <c r="I285" s="12">
        <f t="shared" si="4"/>
        <v>14.363918260625717</v>
      </c>
      <c r="J285">
        <f>Table1[[#This Row],[Coating weight (mg)]]/Constants!$C$2</f>
        <v>12.192496882841885</v>
      </c>
      <c r="K285">
        <f>(Table1[[#This Row],[Coating weight (mg)]]/1000)/(((Table1[[#This Row],[Electrode Thickness(µm)]]-Constants!$E$4)*10^-4)*Constants!$C$4)</f>
        <v>0.64853706823627044</v>
      </c>
    </row>
    <row r="286" spans="1:11" x14ac:dyDescent="0.35">
      <c r="A286" s="28" t="s">
        <v>141</v>
      </c>
      <c r="C286" s="13" t="s">
        <v>134</v>
      </c>
      <c r="D286" t="s">
        <v>15</v>
      </c>
      <c r="E286">
        <v>20.100000000000001</v>
      </c>
      <c r="F286">
        <v>200</v>
      </c>
      <c r="G286">
        <v>12.7</v>
      </c>
      <c r="H286">
        <f>Table1[[#This Row],[Total electrode weight (mg)]] - IF(ROW()&lt;40, Constants!$B$2 * PI()*(Table1[[#This Row],[Electrode Diameter(mm)]]/(10*2))^2, Constants!$B$4 * PI()*(Table1[[#This Row],[Electrode Diameter(mm)]]/(10*2))^2)</f>
        <v>16.045073398522277</v>
      </c>
      <c r="I286" s="12">
        <f t="shared" si="4"/>
        <v>14.921918260625718</v>
      </c>
      <c r="J286">
        <f>Table1[[#This Row],[Coating weight (mg)]]/Constants!$C$2</f>
        <v>12.666142940775483</v>
      </c>
      <c r="K286">
        <f>(Table1[[#This Row],[Coating weight (mg)]]/1000)/(((Table1[[#This Row],[Electrode Thickness(µm)]]-Constants!$E$4)*10^-4)*Constants!$C$4)</f>
        <v>0.67373100748805759</v>
      </c>
    </row>
    <row r="287" spans="1:11" x14ac:dyDescent="0.35">
      <c r="A287" s="28" t="s">
        <v>142</v>
      </c>
      <c r="C287" s="13" t="s">
        <v>134</v>
      </c>
      <c r="D287" t="s">
        <v>15</v>
      </c>
      <c r="E287">
        <v>20.9</v>
      </c>
      <c r="F287">
        <v>200</v>
      </c>
      <c r="G287">
        <v>12.7</v>
      </c>
      <c r="H287">
        <f>Table1[[#This Row],[Total electrode weight (mg)]] - IF(ROW()&lt;40, Constants!$B$2 * PI()*(Table1[[#This Row],[Electrode Diameter(mm)]]/(10*2))^2, Constants!$B$4 * PI()*(Table1[[#This Row],[Electrode Diameter(mm)]]/(10*2))^2)</f>
        <v>16.845073398522274</v>
      </c>
      <c r="I287" s="12">
        <f t="shared" si="4"/>
        <v>15.665918260625716</v>
      </c>
      <c r="J287">
        <f>Table1[[#This Row],[Coating weight (mg)]]/Constants!$C$2</f>
        <v>13.297671018020276</v>
      </c>
      <c r="K287">
        <f>(Table1[[#This Row],[Coating weight (mg)]]/1000)/(((Table1[[#This Row],[Electrode Thickness(µm)]]-Constants!$E$4)*10^-4)*Constants!$C$4)</f>
        <v>0.70732292649044015</v>
      </c>
    </row>
    <row r="288" spans="1:11" x14ac:dyDescent="0.35">
      <c r="A288" s="28">
        <v>12183</v>
      </c>
      <c r="C288" s="13" t="s">
        <v>143</v>
      </c>
      <c r="D288" t="s">
        <v>66</v>
      </c>
      <c r="E288">
        <v>17.7</v>
      </c>
      <c r="G288">
        <v>12.7</v>
      </c>
      <c r="H288">
        <f>Table1[[#This Row],[Total electrode weight (mg)]] - IF(ROW()&lt;40, Constants!$B$2 * PI()*(Table1[[#This Row],[Electrode Diameter(mm)]]/(10*2))^2, Constants!$B$4 * PI()*(Table1[[#This Row],[Electrode Diameter(mm)]]/(10*2))^2)</f>
        <v>13.645073398522275</v>
      </c>
      <c r="I288" s="12">
        <f t="shared" si="4"/>
        <v>11.598312388743933</v>
      </c>
      <c r="J288">
        <f>Table1[[#This Row],[Coating weight (mg)]]/Constants!$C$2</f>
        <v>10.771558709041095</v>
      </c>
      <c r="K288">
        <f>(Table1[[#This Row],[Coating weight (mg)]]/1000)/(((Table1[[#This Row],[Electrode Thickness(µm)]]-Constants!$E$4)*10^-4)*Constants!$C$4)</f>
        <v>-8.9762989242009112</v>
      </c>
    </row>
    <row r="289" spans="1:11" x14ac:dyDescent="0.35">
      <c r="A289" s="28">
        <v>12184</v>
      </c>
      <c r="C289" s="13" t="s">
        <v>143</v>
      </c>
      <c r="D289" t="s">
        <v>66</v>
      </c>
      <c r="E289">
        <v>16.2</v>
      </c>
      <c r="G289">
        <v>12.7</v>
      </c>
      <c r="H289">
        <f>Table1[[#This Row],[Total electrode weight (mg)]] - IF(ROW()&lt;40, Constants!$B$2 * PI()*(Table1[[#This Row],[Electrode Diameter(mm)]]/(10*2))^2, Constants!$B$4 * PI()*(Table1[[#This Row],[Electrode Diameter(mm)]]/(10*2))^2)</f>
        <v>12.145073398522275</v>
      </c>
      <c r="I289" s="12">
        <f t="shared" si="4"/>
        <v>10.323312388743933</v>
      </c>
      <c r="J289">
        <f>Table1[[#This Row],[Coating weight (mg)]]/Constants!$C$2</f>
        <v>9.5874435642071045</v>
      </c>
      <c r="K289">
        <f>(Table1[[#This Row],[Coating weight (mg)]]/1000)/(((Table1[[#This Row],[Electrode Thickness(µm)]]-Constants!$E$4)*10^-4)*Constants!$C$4)</f>
        <v>-7.9895363035059193</v>
      </c>
    </row>
    <row r="290" spans="1:11" x14ac:dyDescent="0.35">
      <c r="A290" s="28">
        <v>12185</v>
      </c>
      <c r="C290" s="13" t="s">
        <v>143</v>
      </c>
      <c r="D290" t="s">
        <v>66</v>
      </c>
      <c r="E290">
        <v>16.600000000000001</v>
      </c>
      <c r="G290">
        <v>12.7</v>
      </c>
      <c r="H290">
        <f>Table1[[#This Row],[Total electrode weight (mg)]] - IF(ROW()&lt;40, Constants!$B$2 * PI()*(Table1[[#This Row],[Electrode Diameter(mm)]]/(10*2))^2, Constants!$B$4 * PI()*(Table1[[#This Row],[Electrode Diameter(mm)]]/(10*2))^2)</f>
        <v>12.545073398522277</v>
      </c>
      <c r="I290" s="12">
        <f t="shared" si="4"/>
        <v>10.663312388743934</v>
      </c>
      <c r="J290">
        <f>Table1[[#This Row],[Coating weight (mg)]]/Constants!$C$2</f>
        <v>9.9032076028295037</v>
      </c>
      <c r="K290">
        <f>(Table1[[#This Row],[Coating weight (mg)]]/1000)/(((Table1[[#This Row],[Electrode Thickness(µm)]]-Constants!$E$4)*10^-4)*Constants!$C$4)</f>
        <v>-8.252673002357918</v>
      </c>
    </row>
    <row r="291" spans="1:11" x14ac:dyDescent="0.35">
      <c r="A291" s="28">
        <v>12186</v>
      </c>
      <c r="C291" s="13" t="s">
        <v>143</v>
      </c>
      <c r="D291" t="s">
        <v>66</v>
      </c>
      <c r="E291">
        <v>19.5</v>
      </c>
      <c r="G291">
        <v>12.7</v>
      </c>
      <c r="H291">
        <f>Table1[[#This Row],[Total electrode weight (mg)]] - IF(ROW()&lt;40, Constants!$B$2 * PI()*(Table1[[#This Row],[Electrode Diameter(mm)]]/(10*2))^2, Constants!$B$4 * PI()*(Table1[[#This Row],[Electrode Diameter(mm)]]/(10*2))^2)</f>
        <v>15.445073398522275</v>
      </c>
      <c r="I291" s="12">
        <f t="shared" si="4"/>
        <v>13.128312388743934</v>
      </c>
      <c r="J291">
        <f>Table1[[#This Row],[Coating weight (mg)]]/Constants!$C$2</f>
        <v>12.192496882841885</v>
      </c>
      <c r="K291">
        <f>(Table1[[#This Row],[Coating weight (mg)]]/1000)/(((Table1[[#This Row],[Electrode Thickness(µm)]]-Constants!$E$4)*10^-4)*Constants!$C$4)</f>
        <v>-10.160414069034903</v>
      </c>
    </row>
    <row r="292" spans="1:11" x14ac:dyDescent="0.35">
      <c r="A292" s="28">
        <v>12187</v>
      </c>
      <c r="C292" s="13" t="s">
        <v>143</v>
      </c>
      <c r="D292" t="s">
        <v>66</v>
      </c>
      <c r="E292">
        <v>17.8</v>
      </c>
      <c r="G292">
        <v>12.7</v>
      </c>
      <c r="H292">
        <f>Table1[[#This Row],[Total electrode weight (mg)]] - IF(ROW()&lt;40, Constants!$B$2 * PI()*(Table1[[#This Row],[Electrode Diameter(mm)]]/(10*2))^2, Constants!$B$4 * PI()*(Table1[[#This Row],[Electrode Diameter(mm)]]/(10*2))^2)</f>
        <v>13.745073398522276</v>
      </c>
      <c r="I292" s="12">
        <f t="shared" si="4"/>
        <v>11.683312388743934</v>
      </c>
      <c r="J292">
        <f>Table1[[#This Row],[Coating weight (mg)]]/Constants!$C$2</f>
        <v>10.850499718696696</v>
      </c>
      <c r="K292">
        <f>(Table1[[#This Row],[Coating weight (mg)]]/1000)/(((Table1[[#This Row],[Electrode Thickness(µm)]]-Constants!$E$4)*10^-4)*Constants!$C$4)</f>
        <v>-9.0420830989139116</v>
      </c>
    </row>
    <row r="293" spans="1:11" x14ac:dyDescent="0.35">
      <c r="A293" s="28">
        <v>12188</v>
      </c>
      <c r="C293" s="13" t="s">
        <v>144</v>
      </c>
      <c r="D293" t="s">
        <v>15</v>
      </c>
      <c r="E293">
        <v>17.3</v>
      </c>
      <c r="G293">
        <v>12.7</v>
      </c>
      <c r="H293">
        <f>Table1[[#This Row],[Total electrode weight (mg)]] - IF(ROW()&lt;40, Constants!$B$2 * PI()*(Table1[[#This Row],[Electrode Diameter(mm)]]/(10*2))^2, Constants!$B$4 * PI()*(Table1[[#This Row],[Electrode Diameter(mm)]]/(10*2))^2)</f>
        <v>13.245073398522276</v>
      </c>
      <c r="I293" s="12">
        <f t="shared" si="4"/>
        <v>12.317918260625717</v>
      </c>
      <c r="J293">
        <f>Table1[[#This Row],[Coating weight (mg)]]/Constants!$C$2</f>
        <v>10.455794670418699</v>
      </c>
      <c r="K293">
        <f>(Table1[[#This Row],[Coating weight (mg)]]/1000)/(((Table1[[#This Row],[Electrode Thickness(µm)]]-Constants!$E$4)*10^-4)*Constants!$C$4)</f>
        <v>-8.7131622253489134</v>
      </c>
    </row>
    <row r="294" spans="1:11" x14ac:dyDescent="0.35">
      <c r="A294" s="28">
        <v>12189</v>
      </c>
      <c r="C294" s="13" t="s">
        <v>144</v>
      </c>
      <c r="D294" t="s">
        <v>15</v>
      </c>
      <c r="E294">
        <v>17.5</v>
      </c>
      <c r="G294">
        <v>12.7</v>
      </c>
      <c r="H294">
        <f>Table1[[#This Row],[Total electrode weight (mg)]] - IF(ROW()&lt;40, Constants!$B$2 * PI()*(Table1[[#This Row],[Electrode Diameter(mm)]]/(10*2))^2, Constants!$B$4 * PI()*(Table1[[#This Row],[Electrode Diameter(mm)]]/(10*2))^2)</f>
        <v>13.445073398522275</v>
      </c>
      <c r="I294" s="12">
        <f t="shared" si="4"/>
        <v>12.503918260625717</v>
      </c>
      <c r="J294">
        <f>Table1[[#This Row],[Coating weight (mg)]]/Constants!$C$2</f>
        <v>10.613676689729896</v>
      </c>
      <c r="K294">
        <f>(Table1[[#This Row],[Coating weight (mg)]]/1000)/(((Table1[[#This Row],[Electrode Thickness(µm)]]-Constants!$E$4)*10^-4)*Constants!$C$4)</f>
        <v>-8.8447305747749123</v>
      </c>
    </row>
    <row r="295" spans="1:11" x14ac:dyDescent="0.35">
      <c r="A295" s="28">
        <v>12190</v>
      </c>
      <c r="C295" s="13" t="s">
        <v>144</v>
      </c>
      <c r="D295" t="s">
        <v>15</v>
      </c>
      <c r="E295">
        <v>18.899999999999999</v>
      </c>
      <c r="G295">
        <v>12.7</v>
      </c>
      <c r="H295">
        <f>Table1[[#This Row],[Total electrode weight (mg)]] - IF(ROW()&lt;40, Constants!$B$2 * PI()*(Table1[[#This Row],[Electrode Diameter(mm)]]/(10*2))^2, Constants!$B$4 * PI()*(Table1[[#This Row],[Electrode Diameter(mm)]]/(10*2))^2)</f>
        <v>14.845073398522274</v>
      </c>
      <c r="I295" s="12">
        <f t="shared" si="4"/>
        <v>13.805918260625715</v>
      </c>
      <c r="J295">
        <f>Table1[[#This Row],[Coating weight (mg)]]/Constants!$C$2</f>
        <v>11.718850824908287</v>
      </c>
      <c r="K295">
        <f>(Table1[[#This Row],[Coating weight (mg)]]/1000)/(((Table1[[#This Row],[Electrode Thickness(µm)]]-Constants!$E$4)*10^-4)*Constants!$C$4)</f>
        <v>-9.7657090207569048</v>
      </c>
    </row>
    <row r="296" spans="1:11" x14ac:dyDescent="0.35">
      <c r="A296" s="28">
        <v>12191</v>
      </c>
      <c r="C296" s="13" t="s">
        <v>144</v>
      </c>
      <c r="D296" t="s">
        <v>15</v>
      </c>
      <c r="E296">
        <v>19.2</v>
      </c>
      <c r="G296">
        <v>12.7</v>
      </c>
      <c r="H296">
        <f>Table1[[#This Row],[Total electrode weight (mg)]] - IF(ROW()&lt;40, Constants!$B$2 * PI()*(Table1[[#This Row],[Electrode Diameter(mm)]]/(10*2))^2, Constants!$B$4 * PI()*(Table1[[#This Row],[Electrode Diameter(mm)]]/(10*2))^2)</f>
        <v>15.145073398522275</v>
      </c>
      <c r="I296" s="12">
        <f t="shared" si="4"/>
        <v>14.084918260625717</v>
      </c>
      <c r="J296">
        <f>Table1[[#This Row],[Coating weight (mg)]]/Constants!$C$2</f>
        <v>11.955673853875085</v>
      </c>
      <c r="K296">
        <f>(Table1[[#This Row],[Coating weight (mg)]]/1000)/(((Table1[[#This Row],[Electrode Thickness(µm)]]-Constants!$E$4)*10^-4)*Constants!$C$4)</f>
        <v>-9.9630615448959041</v>
      </c>
    </row>
    <row r="297" spans="1:11" x14ac:dyDescent="0.35">
      <c r="A297" s="28">
        <v>12192</v>
      </c>
      <c r="C297" s="13" t="s">
        <v>144</v>
      </c>
      <c r="D297" t="s">
        <v>15</v>
      </c>
      <c r="E297">
        <v>17.100000000000001</v>
      </c>
      <c r="G297">
        <v>12.7</v>
      </c>
      <c r="H297">
        <f>Table1[[#This Row],[Total electrode weight (mg)]] - IF(ROW()&lt;40, Constants!$B$2 * PI()*(Table1[[#This Row],[Electrode Diameter(mm)]]/(10*2))^2, Constants!$B$4 * PI()*(Table1[[#This Row],[Electrode Diameter(mm)]]/(10*2))^2)</f>
        <v>13.045073398522277</v>
      </c>
      <c r="I297" s="12">
        <f t="shared" si="4"/>
        <v>12.131918260625719</v>
      </c>
      <c r="J297">
        <f>Table1[[#This Row],[Coating weight (mg)]]/Constants!$C$2</f>
        <v>10.297912651107501</v>
      </c>
      <c r="K297">
        <f>(Table1[[#This Row],[Coating weight (mg)]]/1000)/(((Table1[[#This Row],[Electrode Thickness(µm)]]-Constants!$E$4)*10^-4)*Constants!$C$4)</f>
        <v>-8.5815938759229162</v>
      </c>
    </row>
    <row r="298" spans="1:11" x14ac:dyDescent="0.35">
      <c r="A298" s="28">
        <v>12193</v>
      </c>
      <c r="C298" s="13" t="s">
        <v>144</v>
      </c>
      <c r="D298" t="s">
        <v>15</v>
      </c>
      <c r="E298">
        <v>19</v>
      </c>
      <c r="G298">
        <v>12.7</v>
      </c>
      <c r="H298">
        <f>Table1[[#This Row],[Total electrode weight (mg)]] - IF(ROW()&lt;40, Constants!$B$2 * PI()*(Table1[[#This Row],[Electrode Diameter(mm)]]/(10*2))^2, Constants!$B$4 * PI()*(Table1[[#This Row],[Electrode Diameter(mm)]]/(10*2))^2)</f>
        <v>14.945073398522275</v>
      </c>
      <c r="I298" s="12">
        <f t="shared" si="4"/>
        <v>13.898918260625717</v>
      </c>
      <c r="J298">
        <f>Table1[[#This Row],[Coating weight (mg)]]/Constants!$C$2</f>
        <v>11.797791834563888</v>
      </c>
      <c r="K298">
        <f>(Table1[[#This Row],[Coating weight (mg)]]/1000)/(((Table1[[#This Row],[Electrode Thickness(µm)]]-Constants!$E$4)*10^-4)*Constants!$C$4)</f>
        <v>-9.8314931954699052</v>
      </c>
    </row>
    <row r="299" spans="1:11" x14ac:dyDescent="0.35">
      <c r="A299" s="28">
        <v>12230</v>
      </c>
      <c r="C299" s="13" t="s">
        <v>145</v>
      </c>
      <c r="D299" t="s">
        <v>15</v>
      </c>
      <c r="E299">
        <v>20.100000000000001</v>
      </c>
      <c r="G299">
        <v>12.7</v>
      </c>
      <c r="H299">
        <f>Table1[[#This Row],[Total electrode weight (mg)]] - IF(ROW()&lt;40, Constants!$B$2 * PI()*(Table1[[#This Row],[Electrode Diameter(mm)]]/(10*2))^2, Constants!$B$4 * PI()*(Table1[[#This Row],[Electrode Diameter(mm)]]/(10*2))^2)</f>
        <v>16.045073398522277</v>
      </c>
      <c r="I299" s="12">
        <f t="shared" si="4"/>
        <v>14.921918260625718</v>
      </c>
      <c r="J299">
        <f>Table1[[#This Row],[Coating weight (mg)]]/Constants!$C$2</f>
        <v>12.666142940775483</v>
      </c>
      <c r="K299">
        <f>(Table1[[#This Row],[Coating weight (mg)]]/1000)/(((Table1[[#This Row],[Electrode Thickness(µm)]]-Constants!$E$4)*10^-4)*Constants!$C$4)</f>
        <v>-10.555119117312902</v>
      </c>
    </row>
    <row r="300" spans="1:11" x14ac:dyDescent="0.35">
      <c r="A300" s="28">
        <v>12231</v>
      </c>
      <c r="C300" s="13" t="s">
        <v>145</v>
      </c>
      <c r="D300" t="s">
        <v>15</v>
      </c>
      <c r="E300">
        <v>20.6</v>
      </c>
      <c r="G300">
        <v>12.7</v>
      </c>
      <c r="H300">
        <f>Table1[[#This Row],[Total electrode weight (mg)]] - IF(ROW()&lt;40, Constants!$B$2 * PI()*(Table1[[#This Row],[Electrode Diameter(mm)]]/(10*2))^2, Constants!$B$4 * PI()*(Table1[[#This Row],[Electrode Diameter(mm)]]/(10*2))^2)</f>
        <v>16.545073398522277</v>
      </c>
      <c r="I300" s="12">
        <f t="shared" si="4"/>
        <v>15.386918260625718</v>
      </c>
      <c r="J300">
        <f>Table1[[#This Row],[Coating weight (mg)]]/Constants!$C$2</f>
        <v>13.06084798905348</v>
      </c>
      <c r="K300">
        <f>(Table1[[#This Row],[Coating weight (mg)]]/1000)/(((Table1[[#This Row],[Electrode Thickness(µm)]]-Constants!$E$4)*10^-4)*Constants!$C$4)</f>
        <v>-10.884039990877898</v>
      </c>
    </row>
    <row r="301" spans="1:11" x14ac:dyDescent="0.35">
      <c r="A301" s="28">
        <v>12232</v>
      </c>
      <c r="C301" s="13" t="s">
        <v>145</v>
      </c>
      <c r="D301" t="s">
        <v>15</v>
      </c>
      <c r="E301">
        <v>20.3</v>
      </c>
      <c r="G301">
        <v>12.7</v>
      </c>
      <c r="H301">
        <f>Table1[[#This Row],[Total electrode weight (mg)]] - IF(ROW()&lt;40, Constants!$B$2 * PI()*(Table1[[#This Row],[Electrode Diameter(mm)]]/(10*2))^2, Constants!$B$4 * PI()*(Table1[[#This Row],[Electrode Diameter(mm)]]/(10*2))^2)</f>
        <v>16.245073398522276</v>
      </c>
      <c r="I301" s="12">
        <f t="shared" si="4"/>
        <v>15.107918260625718</v>
      </c>
      <c r="J301">
        <f>Table1[[#This Row],[Coating weight (mg)]]/Constants!$C$2</f>
        <v>12.82402496008668</v>
      </c>
      <c r="K301">
        <f>(Table1[[#This Row],[Coating weight (mg)]]/1000)/(((Table1[[#This Row],[Electrode Thickness(µm)]]-Constants!$E$4)*10^-4)*Constants!$C$4)</f>
        <v>-10.686687466738899</v>
      </c>
    </row>
    <row r="302" spans="1:11" x14ac:dyDescent="0.35">
      <c r="A302" s="28">
        <v>12233</v>
      </c>
      <c r="C302" s="13" t="s">
        <v>145</v>
      </c>
      <c r="D302" t="s">
        <v>15</v>
      </c>
      <c r="E302">
        <v>18.5</v>
      </c>
      <c r="G302">
        <v>12.7</v>
      </c>
      <c r="H302">
        <f>Table1[[#This Row],[Total electrode weight (mg)]] - IF(ROW()&lt;40, Constants!$B$2 * PI()*(Table1[[#This Row],[Electrode Diameter(mm)]]/(10*2))^2, Constants!$B$4 * PI()*(Table1[[#This Row],[Electrode Diameter(mm)]]/(10*2))^2)</f>
        <v>14.445073398522275</v>
      </c>
      <c r="I302" s="12">
        <f t="shared" si="4"/>
        <v>13.433918260625717</v>
      </c>
      <c r="J302">
        <f>Table1[[#This Row],[Coating weight (mg)]]/Constants!$C$2</f>
        <v>11.403086786285892</v>
      </c>
      <c r="K302">
        <f>(Table1[[#This Row],[Coating weight (mg)]]/1000)/(((Table1[[#This Row],[Electrode Thickness(µm)]]-Constants!$E$4)*10^-4)*Constants!$C$4)</f>
        <v>-9.502572321904907</v>
      </c>
    </row>
    <row r="303" spans="1:11" x14ac:dyDescent="0.35">
      <c r="A303" s="28">
        <v>12234</v>
      </c>
      <c r="C303" s="13" t="s">
        <v>145</v>
      </c>
      <c r="D303" t="s">
        <v>15</v>
      </c>
      <c r="E303">
        <v>20.2</v>
      </c>
      <c r="G303">
        <v>12.7</v>
      </c>
      <c r="H303">
        <f>Table1[[#This Row],[Total electrode weight (mg)]] - IF(ROW()&lt;40, Constants!$B$2 * PI()*(Table1[[#This Row],[Electrode Diameter(mm)]]/(10*2))^2, Constants!$B$4 * PI()*(Table1[[#This Row],[Electrode Diameter(mm)]]/(10*2))^2)</f>
        <v>16.145073398522275</v>
      </c>
      <c r="I303" s="12">
        <f t="shared" si="4"/>
        <v>15.014918260625716</v>
      </c>
      <c r="J303">
        <f>Table1[[#This Row],[Coating weight (mg)]]/Constants!$C$2</f>
        <v>12.745083950431081</v>
      </c>
      <c r="K303">
        <f>(Table1[[#This Row],[Coating weight (mg)]]/1000)/(((Table1[[#This Row],[Electrode Thickness(µm)]]-Constants!$E$4)*10^-4)*Constants!$C$4)</f>
        <v>-10.620903292025899</v>
      </c>
    </row>
    <row r="304" spans="1:11" x14ac:dyDescent="0.35">
      <c r="A304" s="28">
        <v>12235</v>
      </c>
      <c r="C304" s="13" t="s">
        <v>146</v>
      </c>
      <c r="D304" t="s">
        <v>66</v>
      </c>
      <c r="E304">
        <v>18.3</v>
      </c>
      <c r="G304">
        <v>12.7</v>
      </c>
      <c r="H304">
        <f>Table1[[#This Row],[Total electrode weight (mg)]] - IF(ROW()&lt;40, Constants!$B$2 * PI()*(Table1[[#This Row],[Electrode Diameter(mm)]]/(10*2))^2, Constants!$B$4 * PI()*(Table1[[#This Row],[Electrode Diameter(mm)]]/(10*2))^2)</f>
        <v>14.245073398522276</v>
      </c>
      <c r="I304" s="12">
        <f t="shared" si="4"/>
        <v>12.108312388743935</v>
      </c>
      <c r="J304">
        <f>Table1[[#This Row],[Coating weight (mg)]]/Constants!$C$2</f>
        <v>11.245204766974693</v>
      </c>
      <c r="K304">
        <f>(Table1[[#This Row],[Coating weight (mg)]]/1000)/(((Table1[[#This Row],[Electrode Thickness(µm)]]-Constants!$E$4)*10^-4)*Constants!$C$4)</f>
        <v>-9.3710039724789098</v>
      </c>
    </row>
    <row r="305" spans="1:15" x14ac:dyDescent="0.35">
      <c r="A305" s="28">
        <v>12236</v>
      </c>
      <c r="C305" s="13" t="s">
        <v>146</v>
      </c>
      <c r="D305" t="s">
        <v>66</v>
      </c>
      <c r="E305">
        <v>17.3</v>
      </c>
      <c r="G305">
        <v>12.7</v>
      </c>
      <c r="H305">
        <f>Table1[[#This Row],[Total electrode weight (mg)]] - IF(ROW()&lt;40, Constants!$B$2 * PI()*(Table1[[#This Row],[Electrode Diameter(mm)]]/(10*2))^2, Constants!$B$4 * PI()*(Table1[[#This Row],[Electrode Diameter(mm)]]/(10*2))^2)</f>
        <v>13.245073398522276</v>
      </c>
      <c r="I305" s="12">
        <f t="shared" si="4"/>
        <v>11.258312388743935</v>
      </c>
      <c r="J305">
        <f>Table1[[#This Row],[Coating weight (mg)]]/Constants!$C$2</f>
        <v>10.455794670418699</v>
      </c>
      <c r="K305">
        <f>(Table1[[#This Row],[Coating weight (mg)]]/1000)/(((Table1[[#This Row],[Electrode Thickness(µm)]]-Constants!$E$4)*10^-4)*Constants!$C$4)</f>
        <v>-8.7131622253489134</v>
      </c>
    </row>
    <row r="306" spans="1:15" x14ac:dyDescent="0.35">
      <c r="A306" s="28">
        <v>12237</v>
      </c>
      <c r="C306" s="13" t="s">
        <v>146</v>
      </c>
      <c r="D306" t="s">
        <v>66</v>
      </c>
      <c r="E306">
        <v>17.5</v>
      </c>
      <c r="G306">
        <v>12.7</v>
      </c>
      <c r="H306">
        <f>Table1[[#This Row],[Total electrode weight (mg)]] - IF(ROW()&lt;40, Constants!$B$2 * PI()*(Table1[[#This Row],[Electrode Diameter(mm)]]/(10*2))^2, Constants!$B$4 * PI()*(Table1[[#This Row],[Electrode Diameter(mm)]]/(10*2))^2)</f>
        <v>13.445073398522275</v>
      </c>
      <c r="I306" s="12">
        <f t="shared" si="4"/>
        <v>11.428312388743933</v>
      </c>
      <c r="J306">
        <f>Table1[[#This Row],[Coating weight (mg)]]/Constants!$C$2</f>
        <v>10.613676689729896</v>
      </c>
      <c r="K306">
        <f>(Table1[[#This Row],[Coating weight (mg)]]/1000)/(((Table1[[#This Row],[Electrode Thickness(µm)]]-Constants!$E$4)*10^-4)*Constants!$C$4)</f>
        <v>-8.8447305747749123</v>
      </c>
    </row>
    <row r="307" spans="1:15" x14ac:dyDescent="0.35">
      <c r="A307" s="28">
        <v>12238</v>
      </c>
      <c r="C307" s="13" t="s">
        <v>146</v>
      </c>
      <c r="D307" t="s">
        <v>66</v>
      </c>
      <c r="E307">
        <v>16.899999999999999</v>
      </c>
      <c r="G307">
        <v>12.7</v>
      </c>
      <c r="H307">
        <f>Table1[[#This Row],[Total electrode weight (mg)]] - IF(ROW()&lt;40, Constants!$B$2 * PI()*(Table1[[#This Row],[Electrode Diameter(mm)]]/(10*2))^2, Constants!$B$4 * PI()*(Table1[[#This Row],[Electrode Diameter(mm)]]/(10*2))^2)</f>
        <v>12.845073398522274</v>
      </c>
      <c r="I307" s="12">
        <f t="shared" si="4"/>
        <v>10.918312388743933</v>
      </c>
      <c r="J307">
        <f>Table1[[#This Row],[Coating weight (mg)]]/Constants!$C$2</f>
        <v>10.1400306317963</v>
      </c>
      <c r="K307">
        <f>(Table1[[#This Row],[Coating weight (mg)]]/1000)/(((Table1[[#This Row],[Electrode Thickness(µm)]]-Constants!$E$4)*10^-4)*Constants!$C$4)</f>
        <v>-8.4500255264969155</v>
      </c>
    </row>
    <row r="308" spans="1:15" x14ac:dyDescent="0.35">
      <c r="A308" s="28">
        <v>12239</v>
      </c>
      <c r="C308" s="13" t="s">
        <v>146</v>
      </c>
      <c r="D308" t="s">
        <v>66</v>
      </c>
      <c r="E308">
        <v>17.899999999999999</v>
      </c>
      <c r="G308">
        <v>12.7</v>
      </c>
      <c r="H308">
        <f>Table1[[#This Row],[Total electrode weight (mg)]] - IF(ROW()&lt;40, Constants!$B$2 * PI()*(Table1[[#This Row],[Electrode Diameter(mm)]]/(10*2))^2, Constants!$B$4 * PI()*(Table1[[#This Row],[Electrode Diameter(mm)]]/(10*2))^2)</f>
        <v>13.845073398522274</v>
      </c>
      <c r="I308" s="12">
        <f t="shared" si="4"/>
        <v>11.768312388743933</v>
      </c>
      <c r="J308">
        <f>Table1[[#This Row],[Coating weight (mg)]]/Constants!$C$2</f>
        <v>10.929440728352294</v>
      </c>
      <c r="K308">
        <f>(Table1[[#This Row],[Coating weight (mg)]]/1000)/(((Table1[[#This Row],[Electrode Thickness(µm)]]-Constants!$E$4)*10^-4)*Constants!$C$4)</f>
        <v>-9.1078672736269102</v>
      </c>
    </row>
    <row r="309" spans="1:15" x14ac:dyDescent="0.35">
      <c r="A309" s="28">
        <v>12240</v>
      </c>
      <c r="C309" s="13" t="s">
        <v>146</v>
      </c>
      <c r="D309" t="s">
        <v>66</v>
      </c>
      <c r="E309">
        <v>17.899999999999999</v>
      </c>
      <c r="G309">
        <v>12.7</v>
      </c>
      <c r="H309">
        <f>Table1[[#This Row],[Total electrode weight (mg)]] - IF(ROW()&lt;40, Constants!$B$2 * PI()*(Table1[[#This Row],[Electrode Diameter(mm)]]/(10*2))^2, Constants!$B$4 * PI()*(Table1[[#This Row],[Electrode Diameter(mm)]]/(10*2))^2)</f>
        <v>13.845073398522274</v>
      </c>
      <c r="I309" s="12">
        <f t="shared" si="4"/>
        <v>11.768312388743933</v>
      </c>
      <c r="J309">
        <f>Table1[[#This Row],[Coating weight (mg)]]/Constants!$C$2</f>
        <v>10.929440728352294</v>
      </c>
      <c r="K309">
        <f>(Table1[[#This Row],[Coating weight (mg)]]/1000)/(((Table1[[#This Row],[Electrode Thickness(µm)]]-Constants!$E$4)*10^-4)*Constants!$C$4)</f>
        <v>-9.1078672736269102</v>
      </c>
    </row>
    <row r="310" spans="1:15" x14ac:dyDescent="0.35">
      <c r="A310" s="28">
        <v>12241</v>
      </c>
      <c r="C310" s="13" t="s">
        <v>146</v>
      </c>
      <c r="D310" t="s">
        <v>66</v>
      </c>
      <c r="E310">
        <v>16.7</v>
      </c>
      <c r="G310">
        <v>12.7</v>
      </c>
      <c r="H310">
        <f>Table1[[#This Row],[Total electrode weight (mg)]] - IF(ROW()&lt;40, Constants!$B$2 * PI()*(Table1[[#This Row],[Electrode Diameter(mm)]]/(10*2))^2, Constants!$B$4 * PI()*(Table1[[#This Row],[Electrode Diameter(mm)]]/(10*2))^2)</f>
        <v>12.645073398522275</v>
      </c>
      <c r="I310" s="12">
        <f t="shared" si="4"/>
        <v>10.748312388743933</v>
      </c>
      <c r="J310">
        <f>Table1[[#This Row],[Coating weight (mg)]]/Constants!$C$2</f>
        <v>9.9821486124851013</v>
      </c>
      <c r="K310">
        <f>(Table1[[#This Row],[Coating weight (mg)]]/1000)/(((Table1[[#This Row],[Electrode Thickness(µm)]]-Constants!$E$4)*10^-4)*Constants!$C$4)</f>
        <v>-8.3184571770709166</v>
      </c>
    </row>
    <row r="311" spans="1:15" x14ac:dyDescent="0.35">
      <c r="A311" s="28">
        <v>12242</v>
      </c>
      <c r="C311" s="13" t="s">
        <v>146</v>
      </c>
      <c r="D311" t="s">
        <v>66</v>
      </c>
      <c r="E311">
        <v>17.3</v>
      </c>
      <c r="G311">
        <v>12.7</v>
      </c>
      <c r="H311">
        <f>Table1[[#This Row],[Total electrode weight (mg)]] - IF(ROW()&lt;40, Constants!$B$2 * PI()*(Table1[[#This Row],[Electrode Diameter(mm)]]/(10*2))^2, Constants!$B$4 * PI()*(Table1[[#This Row],[Electrode Diameter(mm)]]/(10*2))^2)</f>
        <v>13.245073398522276</v>
      </c>
      <c r="I311" s="12">
        <f t="shared" si="4"/>
        <v>11.258312388743935</v>
      </c>
      <c r="J311">
        <f>Table1[[#This Row],[Coating weight (mg)]]/Constants!$C$2</f>
        <v>10.455794670418699</v>
      </c>
      <c r="K311">
        <f>(Table1[[#This Row],[Coating weight (mg)]]/1000)/(((Table1[[#This Row],[Electrode Thickness(µm)]]-Constants!$E$4)*10^-4)*Constants!$C$4)</f>
        <v>-8.7131622253489134</v>
      </c>
    </row>
    <row r="312" spans="1:15" x14ac:dyDescent="0.35">
      <c r="A312" s="28">
        <v>12252</v>
      </c>
      <c r="C312" s="13" t="s">
        <v>147</v>
      </c>
      <c r="D312" t="s">
        <v>15</v>
      </c>
      <c r="E312">
        <v>20.3</v>
      </c>
      <c r="F312">
        <v>200</v>
      </c>
      <c r="G312">
        <v>12.7</v>
      </c>
      <c r="H312">
        <f>Table1[[#This Row],[Total electrode weight (mg)]] - IF(ROW()&lt;40, Constants!$B$2 * PI()*(Table1[[#This Row],[Electrode Diameter(mm)]]/(10*2))^2, Constants!$B$4 * PI()*(Table1[[#This Row],[Electrode Diameter(mm)]]/(10*2))^2)</f>
        <v>16.245073398522276</v>
      </c>
      <c r="I312" s="12">
        <f t="shared" si="4"/>
        <v>15.107918260625718</v>
      </c>
      <c r="J312">
        <f>Table1[[#This Row],[Coating weight (mg)]]/Constants!$C$2</f>
        <v>12.82402496008668</v>
      </c>
      <c r="K312">
        <f>(Table1[[#This Row],[Coating weight (mg)]]/1000)/(((Table1[[#This Row],[Electrode Thickness(µm)]]-Constants!$E$4)*10^-4)*Constants!$C$4)</f>
        <v>0.68212898723865323</v>
      </c>
      <c r="O312">
        <f>AVERAGE(J312:J316)</f>
        <v>12.066191267392925</v>
      </c>
    </row>
    <row r="313" spans="1:15" x14ac:dyDescent="0.35">
      <c r="A313" s="28">
        <v>12253</v>
      </c>
      <c r="C313" s="13" t="s">
        <v>147</v>
      </c>
      <c r="D313" t="s">
        <v>15</v>
      </c>
      <c r="E313">
        <v>19.899999999999999</v>
      </c>
      <c r="F313">
        <v>200</v>
      </c>
      <c r="G313">
        <v>12.7</v>
      </c>
      <c r="H313">
        <f>Table1[[#This Row],[Total electrode weight (mg)]] - IF(ROW()&lt;40, Constants!$B$2 * PI()*(Table1[[#This Row],[Electrode Diameter(mm)]]/(10*2))^2, Constants!$B$4 * PI()*(Table1[[#This Row],[Electrode Diameter(mm)]]/(10*2))^2)</f>
        <v>15.845073398522274</v>
      </c>
      <c r="I313" s="12">
        <f t="shared" si="4"/>
        <v>14.735918260625716</v>
      </c>
      <c r="J313">
        <f>Table1[[#This Row],[Coating weight (mg)]]/Constants!$C$2</f>
        <v>12.508260921464281</v>
      </c>
      <c r="K313">
        <f>(Table1[[#This Row],[Coating weight (mg)]]/1000)/(((Table1[[#This Row],[Electrode Thickness(µm)]]-Constants!$E$4)*10^-4)*Constants!$C$4)</f>
        <v>0.66533302773746184</v>
      </c>
      <c r="O313">
        <f>_xlfn.STDEV.P(J312:J316)</f>
        <v>0.70004253552782725</v>
      </c>
    </row>
    <row r="314" spans="1:15" x14ac:dyDescent="0.35">
      <c r="A314" s="28">
        <v>12254</v>
      </c>
      <c r="C314" s="13" t="s">
        <v>147</v>
      </c>
      <c r="D314" t="s">
        <v>15</v>
      </c>
      <c r="E314">
        <v>19.399999999999999</v>
      </c>
      <c r="F314">
        <v>200</v>
      </c>
      <c r="G314">
        <v>12.7</v>
      </c>
      <c r="H314">
        <f>Table1[[#This Row],[Total electrode weight (mg)]] - IF(ROW()&lt;40, Constants!$B$2 * PI()*(Table1[[#This Row],[Electrode Diameter(mm)]]/(10*2))^2, Constants!$B$4 * PI()*(Table1[[#This Row],[Electrode Diameter(mm)]]/(10*2))^2)</f>
        <v>15.345073398522274</v>
      </c>
      <c r="I314" s="12">
        <f t="shared" si="4"/>
        <v>14.270918260625715</v>
      </c>
      <c r="J314">
        <f>Table1[[#This Row],[Coating weight (mg)]]/Constants!$C$2</f>
        <v>12.113555873186284</v>
      </c>
      <c r="K314">
        <f>(Table1[[#This Row],[Coating weight (mg)]]/1000)/(((Table1[[#This Row],[Electrode Thickness(µm)]]-Constants!$E$4)*10^-4)*Constants!$C$4)</f>
        <v>0.64433807836097245</v>
      </c>
    </row>
    <row r="315" spans="1:15" x14ac:dyDescent="0.35">
      <c r="A315" s="28">
        <v>12255</v>
      </c>
      <c r="C315" s="13" t="s">
        <v>147</v>
      </c>
      <c r="D315" t="s">
        <v>15</v>
      </c>
      <c r="E315">
        <v>17.7</v>
      </c>
      <c r="F315">
        <v>200</v>
      </c>
      <c r="G315">
        <v>12.7</v>
      </c>
      <c r="H315">
        <f>Table1[[#This Row],[Total electrode weight (mg)]] - IF(ROW()&lt;40, Constants!$B$2 * PI()*(Table1[[#This Row],[Electrode Diameter(mm)]]/(10*2))^2, Constants!$B$4 * PI()*(Table1[[#This Row],[Electrode Diameter(mm)]]/(10*2))^2)</f>
        <v>13.645073398522275</v>
      </c>
      <c r="I315" s="12">
        <f t="shared" si="4"/>
        <v>12.689918260625717</v>
      </c>
      <c r="J315">
        <f>Table1[[#This Row],[Coating weight (mg)]]/Constants!$C$2</f>
        <v>10.771558709041095</v>
      </c>
      <c r="K315">
        <f>(Table1[[#This Row],[Coating weight (mg)]]/1000)/(((Table1[[#This Row],[Electrode Thickness(µm)]]-Constants!$E$4)*10^-4)*Constants!$C$4)</f>
        <v>0.57295525048090934</v>
      </c>
    </row>
    <row r="316" spans="1:15" x14ac:dyDescent="0.35">
      <c r="A316" s="28">
        <v>12256</v>
      </c>
      <c r="C316" s="13" t="s">
        <v>147</v>
      </c>
      <c r="D316" t="s">
        <v>15</v>
      </c>
      <c r="E316">
        <v>19.399999999999999</v>
      </c>
      <c r="F316">
        <v>200</v>
      </c>
      <c r="G316">
        <v>12.7</v>
      </c>
      <c r="H316">
        <f>Table1[[#This Row],[Total electrode weight (mg)]] - IF(ROW()&lt;40, Constants!$B$2 * PI()*(Table1[[#This Row],[Electrode Diameter(mm)]]/(10*2))^2, Constants!$B$4 * PI()*(Table1[[#This Row],[Electrode Diameter(mm)]]/(10*2))^2)</f>
        <v>15.345073398522274</v>
      </c>
      <c r="I316" s="12">
        <f t="shared" si="4"/>
        <v>14.270918260625715</v>
      </c>
      <c r="J316">
        <f>Table1[[#This Row],[Coating weight (mg)]]/Constants!$C$2</f>
        <v>12.113555873186284</v>
      </c>
      <c r="K316">
        <f>(Table1[[#This Row],[Coating weight (mg)]]/1000)/(((Table1[[#This Row],[Electrode Thickness(µm)]]-Constants!$E$4)*10^-4)*Constants!$C$4)</f>
        <v>0.64433807836097245</v>
      </c>
    </row>
    <row r="317" spans="1:15" x14ac:dyDescent="0.35">
      <c r="A317" s="28">
        <v>12257</v>
      </c>
      <c r="C317" s="13" t="s">
        <v>148</v>
      </c>
      <c r="D317" t="s">
        <v>15</v>
      </c>
      <c r="E317">
        <v>20.100000000000001</v>
      </c>
      <c r="F317">
        <v>200</v>
      </c>
      <c r="G317">
        <v>12.7</v>
      </c>
      <c r="H317">
        <f>Table1[[#This Row],[Total electrode weight (mg)]] - IF(ROW()&lt;40, Constants!$B$2 * PI()*(Table1[[#This Row],[Electrode Diameter(mm)]]/(10*2))^2, Constants!$B$4 * PI()*(Table1[[#This Row],[Electrode Diameter(mm)]]/(10*2))^2)</f>
        <v>16.045073398522277</v>
      </c>
      <c r="I317" s="12">
        <f t="shared" si="4"/>
        <v>14.921918260625718</v>
      </c>
      <c r="J317">
        <f>Table1[[#This Row],[Coating weight (mg)]]/Constants!$C$2</f>
        <v>12.666142940775483</v>
      </c>
      <c r="K317">
        <f>(Table1[[#This Row],[Coating weight (mg)]]/1000)/(((Table1[[#This Row],[Electrode Thickness(µm)]]-Constants!$E$4)*10^-4)*Constants!$C$4)</f>
        <v>0.67373100748805759</v>
      </c>
    </row>
    <row r="318" spans="1:15" x14ac:dyDescent="0.35">
      <c r="A318" s="28">
        <v>12258</v>
      </c>
      <c r="C318" s="13" t="s">
        <v>148</v>
      </c>
      <c r="D318" t="s">
        <v>15</v>
      </c>
      <c r="E318">
        <v>20</v>
      </c>
      <c r="F318">
        <v>200</v>
      </c>
      <c r="G318">
        <v>12.7</v>
      </c>
      <c r="H318">
        <f>Table1[[#This Row],[Total electrode weight (mg)]] - IF(ROW()&lt;40, Constants!$B$2 * PI()*(Table1[[#This Row],[Electrode Diameter(mm)]]/(10*2))^2, Constants!$B$4 * PI()*(Table1[[#This Row],[Electrode Diameter(mm)]]/(10*2))^2)</f>
        <v>15.945073398522275</v>
      </c>
      <c r="I318" s="12">
        <f t="shared" si="4"/>
        <v>14.828918260625716</v>
      </c>
      <c r="J318">
        <f>Table1[[#This Row],[Coating weight (mg)]]/Constants!$C$2</f>
        <v>12.587201931119882</v>
      </c>
      <c r="K318">
        <f>(Table1[[#This Row],[Coating weight (mg)]]/1000)/(((Table1[[#This Row],[Electrode Thickness(µm)]]-Constants!$E$4)*10^-4)*Constants!$C$4)</f>
        <v>0.6695320176127596</v>
      </c>
    </row>
    <row r="319" spans="1:15" x14ac:dyDescent="0.35">
      <c r="A319" s="28">
        <v>12259</v>
      </c>
      <c r="C319" s="13" t="s">
        <v>148</v>
      </c>
      <c r="D319" t="s">
        <v>15</v>
      </c>
      <c r="E319">
        <v>20</v>
      </c>
      <c r="F319">
        <v>200</v>
      </c>
      <c r="G319">
        <v>12.7</v>
      </c>
      <c r="H319">
        <f>Table1[[#This Row],[Total electrode weight (mg)]] - IF(ROW()&lt;40, Constants!$B$2 * PI()*(Table1[[#This Row],[Electrode Diameter(mm)]]/(10*2))^2, Constants!$B$4 * PI()*(Table1[[#This Row],[Electrode Diameter(mm)]]/(10*2))^2)</f>
        <v>15.945073398522275</v>
      </c>
      <c r="I319" s="12">
        <f t="shared" si="4"/>
        <v>14.828918260625716</v>
      </c>
      <c r="J319">
        <f>Table1[[#This Row],[Coating weight (mg)]]/Constants!$C$2</f>
        <v>12.587201931119882</v>
      </c>
      <c r="K319">
        <f>(Table1[[#This Row],[Coating weight (mg)]]/1000)/(((Table1[[#This Row],[Electrode Thickness(µm)]]-Constants!$E$4)*10^-4)*Constants!$C$4)</f>
        <v>0.6695320176127596</v>
      </c>
    </row>
    <row r="320" spans="1:15" x14ac:dyDescent="0.35">
      <c r="A320" s="28">
        <v>12260</v>
      </c>
      <c r="C320" s="13" t="s">
        <v>148</v>
      </c>
      <c r="D320" t="s">
        <v>15</v>
      </c>
      <c r="E320">
        <v>19.899999999999999</v>
      </c>
      <c r="F320">
        <v>200</v>
      </c>
      <c r="G320">
        <v>12.7</v>
      </c>
      <c r="H320">
        <f>Table1[[#This Row],[Total electrode weight (mg)]] - IF(ROW()&lt;40, Constants!$B$2 * PI()*(Table1[[#This Row],[Electrode Diameter(mm)]]/(10*2))^2, Constants!$B$4 * PI()*(Table1[[#This Row],[Electrode Diameter(mm)]]/(10*2))^2)</f>
        <v>15.845073398522274</v>
      </c>
      <c r="I320" s="12">
        <f t="shared" si="4"/>
        <v>14.735918260625716</v>
      </c>
      <c r="J320">
        <f>Table1[[#This Row],[Coating weight (mg)]]/Constants!$C$2</f>
        <v>12.508260921464281</v>
      </c>
      <c r="K320">
        <f>(Table1[[#This Row],[Coating weight (mg)]]/1000)/(((Table1[[#This Row],[Electrode Thickness(µm)]]-Constants!$E$4)*10^-4)*Constants!$C$4)</f>
        <v>0.66533302773746184</v>
      </c>
    </row>
    <row r="321" spans="1:15" x14ac:dyDescent="0.35">
      <c r="A321" s="28">
        <v>12261</v>
      </c>
      <c r="C321" s="13" t="s">
        <v>148</v>
      </c>
      <c r="D321" t="s">
        <v>15</v>
      </c>
      <c r="E321">
        <v>20.2</v>
      </c>
      <c r="F321">
        <v>200</v>
      </c>
      <c r="G321">
        <v>12.7</v>
      </c>
      <c r="H321">
        <f>Table1[[#This Row],[Total electrode weight (mg)]] - IF(ROW()&lt;40, Constants!$B$2 * PI()*(Table1[[#This Row],[Electrode Diameter(mm)]]/(10*2))^2, Constants!$B$4 * PI()*(Table1[[#This Row],[Electrode Diameter(mm)]]/(10*2))^2)</f>
        <v>16.145073398522275</v>
      </c>
      <c r="I321" s="12">
        <f t="shared" si="4"/>
        <v>15.014918260625716</v>
      </c>
      <c r="J321">
        <f>Table1[[#This Row],[Coating weight (mg)]]/Constants!$C$2</f>
        <v>12.745083950431081</v>
      </c>
      <c r="K321">
        <f>(Table1[[#This Row],[Coating weight (mg)]]/1000)/(((Table1[[#This Row],[Electrode Thickness(µm)]]-Constants!$E$4)*10^-4)*Constants!$C$4)</f>
        <v>0.67792999736335524</v>
      </c>
    </row>
    <row r="322" spans="1:15" x14ac:dyDescent="0.35">
      <c r="A322" s="28">
        <v>12262</v>
      </c>
      <c r="C322" s="13" t="s">
        <v>149</v>
      </c>
      <c r="D322" t="s">
        <v>15</v>
      </c>
      <c r="E322">
        <v>20.7</v>
      </c>
      <c r="F322">
        <v>200</v>
      </c>
      <c r="G322">
        <v>12.7</v>
      </c>
      <c r="H322">
        <f>Table1[[#This Row],[Total electrode weight (mg)]] - IF(ROW()&lt;40, Constants!$B$2 * PI()*(Table1[[#This Row],[Electrode Diameter(mm)]]/(10*2))^2, Constants!$B$4 * PI()*(Table1[[#This Row],[Electrode Diameter(mm)]]/(10*2))^2)</f>
        <v>16.645073398522275</v>
      </c>
      <c r="I322" s="12">
        <f t="shared" si="4"/>
        <v>15.479918260625716</v>
      </c>
      <c r="J322">
        <f>Table1[[#This Row],[Coating weight (mg)]]/Constants!$C$2</f>
        <v>13.139788998709077</v>
      </c>
      <c r="K322">
        <f>(Table1[[#This Row],[Coating weight (mg)]]/1000)/(((Table1[[#This Row],[Electrode Thickness(µm)]]-Constants!$E$4)*10^-4)*Constants!$C$4)</f>
        <v>0.69892494673984451</v>
      </c>
    </row>
    <row r="323" spans="1:15" x14ac:dyDescent="0.35">
      <c r="A323" s="28">
        <v>12263</v>
      </c>
      <c r="C323" s="13" t="s">
        <v>149</v>
      </c>
      <c r="D323" t="s">
        <v>15</v>
      </c>
      <c r="E323">
        <v>19.899999999999999</v>
      </c>
      <c r="F323">
        <v>200</v>
      </c>
      <c r="G323">
        <v>12.7</v>
      </c>
      <c r="H323">
        <f>Table1[[#This Row],[Total electrode weight (mg)]] - IF(ROW()&lt;40, Constants!$B$2 * PI()*(Table1[[#This Row],[Electrode Diameter(mm)]]/(10*2))^2, Constants!$B$4 * PI()*(Table1[[#This Row],[Electrode Diameter(mm)]]/(10*2))^2)</f>
        <v>15.845073398522274</v>
      </c>
      <c r="I323" s="12">
        <f t="shared" ref="I323:I386" si="5">IF(D323="", "", IF(D323="RnD", H323*0.85, IF(D323="Production", H323*0.93, "Invalid")))</f>
        <v>14.735918260625716</v>
      </c>
      <c r="J323">
        <f>Table1[[#This Row],[Coating weight (mg)]]/Constants!$C$2</f>
        <v>12.508260921464281</v>
      </c>
      <c r="K323">
        <f>(Table1[[#This Row],[Coating weight (mg)]]/1000)/(((Table1[[#This Row],[Electrode Thickness(µm)]]-Constants!$E$4)*10^-4)*Constants!$C$4)</f>
        <v>0.66533302773746184</v>
      </c>
    </row>
    <row r="324" spans="1:15" x14ac:dyDescent="0.35">
      <c r="A324" s="28">
        <v>12264</v>
      </c>
      <c r="C324" s="13" t="s">
        <v>149</v>
      </c>
      <c r="D324" t="s">
        <v>15</v>
      </c>
      <c r="E324">
        <v>19.3</v>
      </c>
      <c r="F324">
        <v>200</v>
      </c>
      <c r="G324">
        <v>12.7</v>
      </c>
      <c r="H324">
        <f>Table1[[#This Row],[Total electrode weight (mg)]] - IF(ROW()&lt;40, Constants!$B$2 * PI()*(Table1[[#This Row],[Electrode Diameter(mm)]]/(10*2))^2, Constants!$B$4 * PI()*(Table1[[#This Row],[Electrode Diameter(mm)]]/(10*2))^2)</f>
        <v>15.245073398522276</v>
      </c>
      <c r="I324" s="12">
        <f t="shared" si="5"/>
        <v>14.177918260625718</v>
      </c>
      <c r="J324">
        <f>Table1[[#This Row],[Coating weight (mg)]]/Constants!$C$2</f>
        <v>12.034614863530686</v>
      </c>
      <c r="K324">
        <f>(Table1[[#This Row],[Coating weight (mg)]]/1000)/(((Table1[[#This Row],[Electrode Thickness(µm)]]-Constants!$E$4)*10^-4)*Constants!$C$4)</f>
        <v>0.6401390884856748</v>
      </c>
    </row>
    <row r="325" spans="1:15" x14ac:dyDescent="0.35">
      <c r="A325" s="28">
        <v>12265</v>
      </c>
      <c r="C325" s="13" t="s">
        <v>149</v>
      </c>
      <c r="D325" t="s">
        <v>15</v>
      </c>
      <c r="E325">
        <v>20</v>
      </c>
      <c r="F325">
        <v>200</v>
      </c>
      <c r="G325">
        <v>12.7</v>
      </c>
      <c r="H325">
        <f>Table1[[#This Row],[Total electrode weight (mg)]] - IF(ROW()&lt;40, Constants!$B$2 * PI()*(Table1[[#This Row],[Electrode Diameter(mm)]]/(10*2))^2, Constants!$B$4 * PI()*(Table1[[#This Row],[Electrode Diameter(mm)]]/(10*2))^2)</f>
        <v>15.945073398522275</v>
      </c>
      <c r="I325" s="12">
        <f t="shared" si="5"/>
        <v>14.828918260625716</v>
      </c>
      <c r="J325">
        <f>Table1[[#This Row],[Coating weight (mg)]]/Constants!$C$2</f>
        <v>12.587201931119882</v>
      </c>
      <c r="K325">
        <f>(Table1[[#This Row],[Coating weight (mg)]]/1000)/(((Table1[[#This Row],[Electrode Thickness(µm)]]-Constants!$E$4)*10^-4)*Constants!$C$4)</f>
        <v>0.6695320176127596</v>
      </c>
    </row>
    <row r="326" spans="1:15" x14ac:dyDescent="0.35">
      <c r="A326" s="28">
        <v>12266</v>
      </c>
      <c r="C326" s="13" t="s">
        <v>149</v>
      </c>
      <c r="D326" t="s">
        <v>15</v>
      </c>
      <c r="E326">
        <v>19.899999999999999</v>
      </c>
      <c r="F326">
        <v>200</v>
      </c>
      <c r="G326">
        <v>12.7</v>
      </c>
      <c r="H326">
        <f>Table1[[#This Row],[Total electrode weight (mg)]] - IF(ROW()&lt;40, Constants!$B$2 * PI()*(Table1[[#This Row],[Electrode Diameter(mm)]]/(10*2))^2, Constants!$B$4 * PI()*(Table1[[#This Row],[Electrode Diameter(mm)]]/(10*2))^2)</f>
        <v>15.845073398522274</v>
      </c>
      <c r="I326" s="12">
        <f t="shared" si="5"/>
        <v>14.735918260625716</v>
      </c>
      <c r="J326">
        <f>Table1[[#This Row],[Coating weight (mg)]]/Constants!$C$2</f>
        <v>12.508260921464281</v>
      </c>
      <c r="K326">
        <f>(Table1[[#This Row],[Coating weight (mg)]]/1000)/(((Table1[[#This Row],[Electrode Thickness(µm)]]-Constants!$E$4)*10^-4)*Constants!$C$4)</f>
        <v>0.66533302773746184</v>
      </c>
    </row>
    <row r="327" spans="1:15" x14ac:dyDescent="0.35">
      <c r="A327" s="28">
        <v>12267</v>
      </c>
      <c r="C327" s="13" t="s">
        <v>150</v>
      </c>
      <c r="D327" t="s">
        <v>15</v>
      </c>
      <c r="E327">
        <v>18.3</v>
      </c>
      <c r="F327">
        <v>200</v>
      </c>
      <c r="G327">
        <v>12.7</v>
      </c>
      <c r="H327">
        <f>Table1[[#This Row],[Total electrode weight (mg)]] - IF(ROW()&lt;40, Constants!$B$2 * PI()*(Table1[[#This Row],[Electrode Diameter(mm)]]/(10*2))^2, Constants!$B$4 * PI()*(Table1[[#This Row],[Electrode Diameter(mm)]]/(10*2))^2)</f>
        <v>14.245073398522276</v>
      </c>
      <c r="I327" s="12">
        <f t="shared" si="5"/>
        <v>13.247918260625717</v>
      </c>
      <c r="J327">
        <f>Table1[[#This Row],[Coating weight (mg)]]/Constants!$C$2</f>
        <v>11.245204766974693</v>
      </c>
      <c r="K327">
        <f>(Table1[[#This Row],[Coating weight (mg)]]/1000)/(((Table1[[#This Row],[Electrode Thickness(µm)]]-Constants!$E$4)*10^-4)*Constants!$C$4)</f>
        <v>0.59814918973269637</v>
      </c>
    </row>
    <row r="328" spans="1:15" x14ac:dyDescent="0.35">
      <c r="A328" s="28">
        <v>12268</v>
      </c>
      <c r="C328" s="13" t="s">
        <v>150</v>
      </c>
      <c r="D328" t="s">
        <v>15</v>
      </c>
      <c r="E328">
        <v>18.2</v>
      </c>
      <c r="F328">
        <v>200</v>
      </c>
      <c r="G328">
        <v>12.7</v>
      </c>
      <c r="H328">
        <f>Table1[[#This Row],[Total electrode weight (mg)]] - IF(ROW()&lt;40, Constants!$B$2 * PI()*(Table1[[#This Row],[Electrode Diameter(mm)]]/(10*2))^2, Constants!$B$4 * PI()*(Table1[[#This Row],[Electrode Diameter(mm)]]/(10*2))^2)</f>
        <v>14.145073398522275</v>
      </c>
      <c r="I328" s="12">
        <f t="shared" si="5"/>
        <v>13.154918260625717</v>
      </c>
      <c r="J328">
        <f>Table1[[#This Row],[Coating weight (mg)]]/Constants!$C$2</f>
        <v>11.166263757319092</v>
      </c>
      <c r="K328">
        <f>(Table1[[#This Row],[Coating weight (mg)]]/1000)/(((Table1[[#This Row],[Electrode Thickness(µm)]]-Constants!$E$4)*10^-4)*Constants!$C$4)</f>
        <v>0.5939501998573985</v>
      </c>
    </row>
    <row r="329" spans="1:15" x14ac:dyDescent="0.35">
      <c r="A329" s="28">
        <v>12269</v>
      </c>
      <c r="C329" s="13" t="s">
        <v>150</v>
      </c>
      <c r="D329" t="s">
        <v>15</v>
      </c>
      <c r="E329">
        <v>18.100000000000001</v>
      </c>
      <c r="F329">
        <v>200</v>
      </c>
      <c r="G329">
        <v>12.7</v>
      </c>
      <c r="H329">
        <f>Table1[[#This Row],[Total electrode weight (mg)]] - IF(ROW()&lt;40, Constants!$B$2 * PI()*(Table1[[#This Row],[Electrode Diameter(mm)]]/(10*2))^2, Constants!$B$4 * PI()*(Table1[[#This Row],[Electrode Diameter(mm)]]/(10*2))^2)</f>
        <v>14.045073398522277</v>
      </c>
      <c r="I329" s="12">
        <f t="shared" si="5"/>
        <v>13.061918260625719</v>
      </c>
      <c r="J329">
        <f>Table1[[#This Row],[Coating weight (mg)]]/Constants!$C$2</f>
        <v>11.087322747663494</v>
      </c>
      <c r="K329">
        <f>(Table1[[#This Row],[Coating weight (mg)]]/1000)/(((Table1[[#This Row],[Electrode Thickness(µm)]]-Constants!$E$4)*10^-4)*Constants!$C$4)</f>
        <v>0.58975120998210073</v>
      </c>
    </row>
    <row r="330" spans="1:15" x14ac:dyDescent="0.35">
      <c r="A330" s="28">
        <v>12270</v>
      </c>
      <c r="C330" s="13" t="s">
        <v>150</v>
      </c>
      <c r="D330" t="s">
        <v>15</v>
      </c>
      <c r="E330">
        <v>18.2</v>
      </c>
      <c r="F330">
        <v>200</v>
      </c>
      <c r="G330">
        <v>12.7</v>
      </c>
      <c r="H330">
        <f>Table1[[#This Row],[Total electrode weight (mg)]] - IF(ROW()&lt;40, Constants!$B$2 * PI()*(Table1[[#This Row],[Electrode Diameter(mm)]]/(10*2))^2, Constants!$B$4 * PI()*(Table1[[#This Row],[Electrode Diameter(mm)]]/(10*2))^2)</f>
        <v>14.145073398522275</v>
      </c>
      <c r="I330" s="12">
        <f t="shared" si="5"/>
        <v>13.154918260625717</v>
      </c>
      <c r="J330">
        <f>Table1[[#This Row],[Coating weight (mg)]]/Constants!$C$2</f>
        <v>11.166263757319092</v>
      </c>
      <c r="K330">
        <f>(Table1[[#This Row],[Coating weight (mg)]]/1000)/(((Table1[[#This Row],[Electrode Thickness(µm)]]-Constants!$E$4)*10^-4)*Constants!$C$4)</f>
        <v>0.5939501998573985</v>
      </c>
    </row>
    <row r="331" spans="1:15" x14ac:dyDescent="0.35">
      <c r="A331" s="28">
        <v>12271</v>
      </c>
      <c r="C331" s="13" t="s">
        <v>150</v>
      </c>
      <c r="D331" t="s">
        <v>15</v>
      </c>
      <c r="E331">
        <v>18.3</v>
      </c>
      <c r="F331">
        <v>200</v>
      </c>
      <c r="G331">
        <v>12.7</v>
      </c>
      <c r="H331">
        <f>Table1[[#This Row],[Total electrode weight (mg)]] - IF(ROW()&lt;40, Constants!$B$2 * PI()*(Table1[[#This Row],[Electrode Diameter(mm)]]/(10*2))^2, Constants!$B$4 * PI()*(Table1[[#This Row],[Electrode Diameter(mm)]]/(10*2))^2)</f>
        <v>14.245073398522276</v>
      </c>
      <c r="I331" s="12">
        <f t="shared" si="5"/>
        <v>13.247918260625717</v>
      </c>
      <c r="J331">
        <f>Table1[[#This Row],[Coating weight (mg)]]/Constants!$C$2</f>
        <v>11.245204766974693</v>
      </c>
      <c r="K331">
        <f>(Table1[[#This Row],[Coating weight (mg)]]/1000)/(((Table1[[#This Row],[Electrode Thickness(µm)]]-Constants!$E$4)*10^-4)*Constants!$C$4)</f>
        <v>0.59814918973269637</v>
      </c>
    </row>
    <row r="332" spans="1:15" x14ac:dyDescent="0.35">
      <c r="A332" s="28">
        <v>12272</v>
      </c>
      <c r="C332" s="13" t="s">
        <v>151</v>
      </c>
      <c r="D332" t="s">
        <v>15</v>
      </c>
      <c r="E332">
        <v>20.7</v>
      </c>
      <c r="F332">
        <v>200</v>
      </c>
      <c r="G332">
        <v>12.7</v>
      </c>
      <c r="H332">
        <f>Table1[[#This Row],[Total electrode weight (mg)]] - IF(ROW()&lt;40, Constants!$B$2 * PI()*(Table1[[#This Row],[Electrode Diameter(mm)]]/(10*2))^2, Constants!$B$4 * PI()*(Table1[[#This Row],[Electrode Diameter(mm)]]/(10*2))^2)</f>
        <v>16.645073398522275</v>
      </c>
      <c r="I332" s="12">
        <f t="shared" si="5"/>
        <v>15.479918260625716</v>
      </c>
      <c r="J332">
        <f>Table1[[#This Row],[Coating weight (mg)]]/Constants!$C$2</f>
        <v>13.139788998709077</v>
      </c>
      <c r="K332">
        <f>(Table1[[#This Row],[Coating weight (mg)]]/1000)/(((Table1[[#This Row],[Electrode Thickness(µm)]]-Constants!$E$4)*10^-4)*Constants!$C$4)</f>
        <v>0.69892494673984451</v>
      </c>
      <c r="O332">
        <f>AVERAGE(J332:J336)</f>
        <v>12.792448556224439</v>
      </c>
    </row>
    <row r="333" spans="1:15" x14ac:dyDescent="0.35">
      <c r="A333" s="28">
        <v>12273</v>
      </c>
      <c r="C333" s="13" t="s">
        <v>151</v>
      </c>
      <c r="D333" t="s">
        <v>15</v>
      </c>
      <c r="E333">
        <v>20.7</v>
      </c>
      <c r="F333">
        <v>200</v>
      </c>
      <c r="G333">
        <v>12.7</v>
      </c>
      <c r="H333">
        <f>Table1[[#This Row],[Total electrode weight (mg)]] - IF(ROW()&lt;40, Constants!$B$2 * PI()*(Table1[[#This Row],[Electrode Diameter(mm)]]/(10*2))^2, Constants!$B$4 * PI()*(Table1[[#This Row],[Electrode Diameter(mm)]]/(10*2))^2)</f>
        <v>16.645073398522275</v>
      </c>
      <c r="I333" s="12">
        <f t="shared" si="5"/>
        <v>15.479918260625716</v>
      </c>
      <c r="J333">
        <f>Table1[[#This Row],[Coating weight (mg)]]/Constants!$C$2</f>
        <v>13.139788998709077</v>
      </c>
      <c r="K333">
        <f>(Table1[[#This Row],[Coating weight (mg)]]/1000)/(((Table1[[#This Row],[Electrode Thickness(µm)]]-Constants!$E$4)*10^-4)*Constants!$C$4)</f>
        <v>0.69892494673984451</v>
      </c>
      <c r="O333">
        <f>_xlfn.STDEV.P(J332:J336)</f>
        <v>0.28940252174641967</v>
      </c>
    </row>
    <row r="334" spans="1:15" x14ac:dyDescent="0.35">
      <c r="A334" s="28">
        <v>12274</v>
      </c>
      <c r="C334" s="13" t="s">
        <v>151</v>
      </c>
      <c r="D334" t="s">
        <v>15</v>
      </c>
      <c r="E334">
        <v>19.899999999999999</v>
      </c>
      <c r="F334">
        <v>200</v>
      </c>
      <c r="G334">
        <v>12.7</v>
      </c>
      <c r="H334">
        <f>Table1[[#This Row],[Total electrode weight (mg)]] - IF(ROW()&lt;40, Constants!$B$2 * PI()*(Table1[[#This Row],[Electrode Diameter(mm)]]/(10*2))^2, Constants!$B$4 * PI()*(Table1[[#This Row],[Electrode Diameter(mm)]]/(10*2))^2)</f>
        <v>15.845073398522274</v>
      </c>
      <c r="I334" s="12">
        <f t="shared" si="5"/>
        <v>14.735918260625716</v>
      </c>
      <c r="J334">
        <f>Table1[[#This Row],[Coating weight (mg)]]/Constants!$C$2</f>
        <v>12.508260921464281</v>
      </c>
      <c r="K334">
        <f>(Table1[[#This Row],[Coating weight (mg)]]/1000)/(((Table1[[#This Row],[Electrode Thickness(µm)]]-Constants!$E$4)*10^-4)*Constants!$C$4)</f>
        <v>0.66533302773746184</v>
      </c>
    </row>
    <row r="335" spans="1:15" x14ac:dyDescent="0.35">
      <c r="A335" s="28">
        <v>12275</v>
      </c>
      <c r="C335" s="13" t="s">
        <v>151</v>
      </c>
      <c r="D335" t="s">
        <v>15</v>
      </c>
      <c r="E335">
        <v>19.899999999999999</v>
      </c>
      <c r="F335">
        <v>200</v>
      </c>
      <c r="G335">
        <v>12.7</v>
      </c>
      <c r="H335">
        <f>Table1[[#This Row],[Total electrode weight (mg)]] - IF(ROW()&lt;40, Constants!$B$2 * PI()*(Table1[[#This Row],[Electrode Diameter(mm)]]/(10*2))^2, Constants!$B$4 * PI()*(Table1[[#This Row],[Electrode Diameter(mm)]]/(10*2))^2)</f>
        <v>15.845073398522274</v>
      </c>
      <c r="I335" s="12">
        <f t="shared" si="5"/>
        <v>14.735918260625716</v>
      </c>
      <c r="J335">
        <f>Table1[[#This Row],[Coating weight (mg)]]/Constants!$C$2</f>
        <v>12.508260921464281</v>
      </c>
      <c r="K335">
        <f>(Table1[[#This Row],[Coating weight (mg)]]/1000)/(((Table1[[#This Row],[Electrode Thickness(µm)]]-Constants!$E$4)*10^-4)*Constants!$C$4)</f>
        <v>0.66533302773746184</v>
      </c>
    </row>
    <row r="336" spans="1:15" x14ac:dyDescent="0.35">
      <c r="A336" s="28">
        <v>12276</v>
      </c>
      <c r="C336" s="13" t="s">
        <v>151</v>
      </c>
      <c r="D336" t="s">
        <v>15</v>
      </c>
      <c r="E336">
        <v>20.100000000000001</v>
      </c>
      <c r="F336">
        <v>200</v>
      </c>
      <c r="G336">
        <v>12.7</v>
      </c>
      <c r="H336">
        <f>Table1[[#This Row],[Total electrode weight (mg)]] - IF(ROW()&lt;40, Constants!$B$2 * PI()*(Table1[[#This Row],[Electrode Diameter(mm)]]/(10*2))^2, Constants!$B$4 * PI()*(Table1[[#This Row],[Electrode Diameter(mm)]]/(10*2))^2)</f>
        <v>16.045073398522277</v>
      </c>
      <c r="I336" s="12">
        <f t="shared" si="5"/>
        <v>14.921918260625718</v>
      </c>
      <c r="J336">
        <f>Table1[[#This Row],[Coating weight (mg)]]/Constants!$C$2</f>
        <v>12.666142940775483</v>
      </c>
      <c r="K336">
        <f>(Table1[[#This Row],[Coating weight (mg)]]/1000)/(((Table1[[#This Row],[Electrode Thickness(µm)]]-Constants!$E$4)*10^-4)*Constants!$C$4)</f>
        <v>0.67373100748805759</v>
      </c>
    </row>
    <row r="337" spans="1:11" x14ac:dyDescent="0.35">
      <c r="A337" s="28">
        <v>12277</v>
      </c>
      <c r="C337" s="13" t="s">
        <v>152</v>
      </c>
      <c r="D337" t="s">
        <v>15</v>
      </c>
      <c r="E337">
        <v>19.3</v>
      </c>
      <c r="F337">
        <v>200</v>
      </c>
      <c r="G337">
        <v>12.7</v>
      </c>
      <c r="H337">
        <f>Table1[[#This Row],[Total electrode weight (mg)]] - IF(ROW()&lt;40, Constants!$B$2 * PI()*(Table1[[#This Row],[Electrode Diameter(mm)]]/(10*2))^2, Constants!$B$4 * PI()*(Table1[[#This Row],[Electrode Diameter(mm)]]/(10*2))^2)</f>
        <v>15.245073398522276</v>
      </c>
      <c r="I337" s="12">
        <f t="shared" si="5"/>
        <v>14.177918260625718</v>
      </c>
      <c r="J337">
        <f>Table1[[#This Row],[Coating weight (mg)]]/Constants!$C$2</f>
        <v>12.034614863530686</v>
      </c>
      <c r="K337">
        <f>(Table1[[#This Row],[Coating weight (mg)]]/1000)/(((Table1[[#This Row],[Electrode Thickness(µm)]]-Constants!$E$4)*10^-4)*Constants!$C$4)</f>
        <v>0.6401390884856748</v>
      </c>
    </row>
    <row r="338" spans="1:11" x14ac:dyDescent="0.35">
      <c r="A338" s="28">
        <v>12278</v>
      </c>
      <c r="C338" s="13" t="s">
        <v>152</v>
      </c>
      <c r="D338" t="s">
        <v>15</v>
      </c>
      <c r="E338">
        <v>19.899999999999999</v>
      </c>
      <c r="F338">
        <v>200</v>
      </c>
      <c r="G338">
        <v>12.7</v>
      </c>
      <c r="H338">
        <f>Table1[[#This Row],[Total electrode weight (mg)]] - IF(ROW()&lt;40, Constants!$B$2 * PI()*(Table1[[#This Row],[Electrode Diameter(mm)]]/(10*2))^2, Constants!$B$4 * PI()*(Table1[[#This Row],[Electrode Diameter(mm)]]/(10*2))^2)</f>
        <v>15.845073398522274</v>
      </c>
      <c r="I338" s="12">
        <f t="shared" si="5"/>
        <v>14.735918260625716</v>
      </c>
      <c r="J338">
        <f>Table1[[#This Row],[Coating weight (mg)]]/Constants!$C$2</f>
        <v>12.508260921464281</v>
      </c>
      <c r="K338">
        <f>(Table1[[#This Row],[Coating weight (mg)]]/1000)/(((Table1[[#This Row],[Electrode Thickness(µm)]]-Constants!$E$4)*10^-4)*Constants!$C$4)</f>
        <v>0.66533302773746184</v>
      </c>
    </row>
    <row r="339" spans="1:11" x14ac:dyDescent="0.35">
      <c r="A339" s="28">
        <v>12279</v>
      </c>
      <c r="C339" s="13" t="s">
        <v>152</v>
      </c>
      <c r="D339" t="s">
        <v>15</v>
      </c>
      <c r="E339">
        <v>19.100000000000001</v>
      </c>
      <c r="F339">
        <v>200</v>
      </c>
      <c r="G339">
        <v>12.7</v>
      </c>
      <c r="H339">
        <f>Table1[[#This Row],[Total electrode weight (mg)]] - IF(ROW()&lt;40, Constants!$B$2 * PI()*(Table1[[#This Row],[Electrode Diameter(mm)]]/(10*2))^2, Constants!$B$4 * PI()*(Table1[[#This Row],[Electrode Diameter(mm)]]/(10*2))^2)</f>
        <v>15.045073398522277</v>
      </c>
      <c r="I339" s="12">
        <f t="shared" si="5"/>
        <v>13.991918260625718</v>
      </c>
      <c r="J339">
        <f>Table1[[#This Row],[Coating weight (mg)]]/Constants!$C$2</f>
        <v>11.876732844219488</v>
      </c>
      <c r="K339">
        <f>(Table1[[#This Row],[Coating weight (mg)]]/1000)/(((Table1[[#This Row],[Electrode Thickness(µm)]]-Constants!$E$4)*10^-4)*Constants!$C$4)</f>
        <v>0.63174110873507916</v>
      </c>
    </row>
    <row r="340" spans="1:11" x14ac:dyDescent="0.35">
      <c r="A340" s="28">
        <v>12280</v>
      </c>
      <c r="C340" s="13" t="s">
        <v>152</v>
      </c>
      <c r="D340" t="s">
        <v>15</v>
      </c>
      <c r="E340">
        <v>19.899999999999999</v>
      </c>
      <c r="F340">
        <v>200</v>
      </c>
      <c r="G340">
        <v>12.7</v>
      </c>
      <c r="H340">
        <f>Table1[[#This Row],[Total electrode weight (mg)]] - IF(ROW()&lt;40, Constants!$B$2 * PI()*(Table1[[#This Row],[Electrode Diameter(mm)]]/(10*2))^2, Constants!$B$4 * PI()*(Table1[[#This Row],[Electrode Diameter(mm)]]/(10*2))^2)</f>
        <v>15.845073398522274</v>
      </c>
      <c r="I340" s="12">
        <f t="shared" si="5"/>
        <v>14.735918260625716</v>
      </c>
      <c r="J340">
        <f>Table1[[#This Row],[Coating weight (mg)]]/Constants!$C$2</f>
        <v>12.508260921464281</v>
      </c>
      <c r="K340">
        <f>(Table1[[#This Row],[Coating weight (mg)]]/1000)/(((Table1[[#This Row],[Electrode Thickness(µm)]]-Constants!$E$4)*10^-4)*Constants!$C$4)</f>
        <v>0.66533302773746184</v>
      </c>
    </row>
    <row r="341" spans="1:11" x14ac:dyDescent="0.35">
      <c r="A341" s="28">
        <v>12281</v>
      </c>
      <c r="C341" s="13" t="s">
        <v>152</v>
      </c>
      <c r="D341" t="s">
        <v>15</v>
      </c>
      <c r="E341">
        <v>18.8</v>
      </c>
      <c r="F341">
        <v>200</v>
      </c>
      <c r="G341">
        <v>12.7</v>
      </c>
      <c r="H341">
        <f>Table1[[#This Row],[Total electrode weight (mg)]] - IF(ROW()&lt;40, Constants!$B$2 * PI()*(Table1[[#This Row],[Electrode Diameter(mm)]]/(10*2))^2, Constants!$B$4 * PI()*(Table1[[#This Row],[Electrode Diameter(mm)]]/(10*2))^2)</f>
        <v>14.745073398522276</v>
      </c>
      <c r="I341" s="12">
        <f t="shared" si="5"/>
        <v>13.712918260625717</v>
      </c>
      <c r="J341">
        <f>Table1[[#This Row],[Coating weight (mg)]]/Constants!$C$2</f>
        <v>11.63990981525269</v>
      </c>
      <c r="K341">
        <f>(Table1[[#This Row],[Coating weight (mg)]]/1000)/(((Table1[[#This Row],[Electrode Thickness(µm)]]-Constants!$E$4)*10^-4)*Constants!$C$4)</f>
        <v>0.61914413910918564</v>
      </c>
    </row>
    <row r="342" spans="1:11" x14ac:dyDescent="0.35">
      <c r="A342" s="28">
        <v>12282</v>
      </c>
      <c r="C342" s="13" t="s">
        <v>153</v>
      </c>
      <c r="D342" t="s">
        <v>15</v>
      </c>
      <c r="E342">
        <v>19.899999999999999</v>
      </c>
      <c r="F342">
        <v>200</v>
      </c>
      <c r="G342">
        <v>12.7</v>
      </c>
      <c r="H342">
        <f>Table1[[#This Row],[Total electrode weight (mg)]] - IF(ROW()&lt;40, Constants!$B$2 * PI()*(Table1[[#This Row],[Electrode Diameter(mm)]]/(10*2))^2, Constants!$B$4 * PI()*(Table1[[#This Row],[Electrode Diameter(mm)]]/(10*2))^2)</f>
        <v>15.845073398522274</v>
      </c>
      <c r="I342" s="12">
        <f t="shared" si="5"/>
        <v>14.735918260625716</v>
      </c>
      <c r="J342">
        <f>Table1[[#This Row],[Coating weight (mg)]]/Constants!$C$2</f>
        <v>12.508260921464281</v>
      </c>
      <c r="K342">
        <f>(Table1[[#This Row],[Coating weight (mg)]]/1000)/(((Table1[[#This Row],[Electrode Thickness(µm)]]-Constants!$E$4)*10^-4)*Constants!$C$4)</f>
        <v>0.66533302773746184</v>
      </c>
    </row>
    <row r="343" spans="1:11" x14ac:dyDescent="0.35">
      <c r="A343" s="28">
        <v>12283</v>
      </c>
      <c r="C343" s="13" t="s">
        <v>153</v>
      </c>
      <c r="D343" t="s">
        <v>15</v>
      </c>
      <c r="E343">
        <v>21.7</v>
      </c>
      <c r="F343">
        <v>200</v>
      </c>
      <c r="G343">
        <v>12.7</v>
      </c>
      <c r="H343">
        <f>Table1[[#This Row],[Total electrode weight (mg)]] - IF(ROW()&lt;40, Constants!$B$2 * PI()*(Table1[[#This Row],[Electrode Diameter(mm)]]/(10*2))^2, Constants!$B$4 * PI()*(Table1[[#This Row],[Electrode Diameter(mm)]]/(10*2))^2)</f>
        <v>17.645073398522275</v>
      </c>
      <c r="I343" s="12">
        <f t="shared" si="5"/>
        <v>16.409918260625716</v>
      </c>
      <c r="J343">
        <f>Table1[[#This Row],[Coating weight (mg)]]/Constants!$C$2</f>
        <v>13.929199095265071</v>
      </c>
      <c r="K343">
        <f>(Table1[[#This Row],[Coating weight (mg)]]/1000)/(((Table1[[#This Row],[Electrode Thickness(µm)]]-Constants!$E$4)*10^-4)*Constants!$C$4)</f>
        <v>0.74091484549282294</v>
      </c>
    </row>
    <row r="344" spans="1:11" x14ac:dyDescent="0.35">
      <c r="A344" s="28">
        <v>12284</v>
      </c>
      <c r="C344" s="13" t="s">
        <v>153</v>
      </c>
      <c r="D344" t="s">
        <v>15</v>
      </c>
      <c r="E344">
        <v>20.5</v>
      </c>
      <c r="F344">
        <v>200</v>
      </c>
      <c r="G344">
        <v>12.7</v>
      </c>
      <c r="H344">
        <f>Table1[[#This Row],[Total electrode weight (mg)]] - IF(ROW()&lt;40, Constants!$B$2 * PI()*(Table1[[#This Row],[Electrode Diameter(mm)]]/(10*2))^2, Constants!$B$4 * PI()*(Table1[[#This Row],[Electrode Diameter(mm)]]/(10*2))^2)</f>
        <v>16.445073398522275</v>
      </c>
      <c r="I344" s="12">
        <f t="shared" si="5"/>
        <v>15.293918260625716</v>
      </c>
      <c r="J344">
        <f>Table1[[#This Row],[Coating weight (mg)]]/Constants!$C$2</f>
        <v>12.981906979397879</v>
      </c>
      <c r="K344">
        <f>(Table1[[#This Row],[Coating weight (mg)]]/1000)/(((Table1[[#This Row],[Electrode Thickness(µm)]]-Constants!$E$4)*10^-4)*Constants!$C$4)</f>
        <v>0.69052696698924887</v>
      </c>
    </row>
    <row r="345" spans="1:11" x14ac:dyDescent="0.35">
      <c r="A345" s="28">
        <v>12285</v>
      </c>
      <c r="C345" s="13" t="s">
        <v>153</v>
      </c>
      <c r="D345" t="s">
        <v>15</v>
      </c>
      <c r="E345">
        <v>19.5</v>
      </c>
      <c r="F345">
        <v>200</v>
      </c>
      <c r="G345">
        <v>12.7</v>
      </c>
      <c r="H345">
        <f>Table1[[#This Row],[Total electrode weight (mg)]] - IF(ROW()&lt;40, Constants!$B$2 * PI()*(Table1[[#This Row],[Electrode Diameter(mm)]]/(10*2))^2, Constants!$B$4 * PI()*(Table1[[#This Row],[Electrode Diameter(mm)]]/(10*2))^2)</f>
        <v>15.445073398522275</v>
      </c>
      <c r="I345" s="12">
        <f t="shared" si="5"/>
        <v>14.363918260625717</v>
      </c>
      <c r="J345">
        <f>Table1[[#This Row],[Coating weight (mg)]]/Constants!$C$2</f>
        <v>12.192496882841885</v>
      </c>
      <c r="K345">
        <f>(Table1[[#This Row],[Coating weight (mg)]]/1000)/(((Table1[[#This Row],[Electrode Thickness(µm)]]-Constants!$E$4)*10^-4)*Constants!$C$4)</f>
        <v>0.64853706823627044</v>
      </c>
    </row>
    <row r="346" spans="1:11" x14ac:dyDescent="0.35">
      <c r="A346" s="28">
        <v>12286</v>
      </c>
      <c r="C346" s="13" t="s">
        <v>154</v>
      </c>
      <c r="D346" t="s">
        <v>15</v>
      </c>
      <c r="E346">
        <v>20.399999999999999</v>
      </c>
      <c r="G346">
        <v>12.7</v>
      </c>
      <c r="H346">
        <f>Table1[[#This Row],[Total electrode weight (mg)]] - IF(ROW()&lt;40, Constants!$B$2 * PI()*(Table1[[#This Row],[Electrode Diameter(mm)]]/(10*2))^2, Constants!$B$4 * PI()*(Table1[[#This Row],[Electrode Diameter(mm)]]/(10*2))^2)</f>
        <v>16.345073398522274</v>
      </c>
      <c r="I346" s="12">
        <f t="shared" si="5"/>
        <v>15.200918260625716</v>
      </c>
      <c r="J346">
        <f>Table1[[#This Row],[Coating weight (mg)]]/Constants!$C$2</f>
        <v>12.902965969742278</v>
      </c>
      <c r="K346">
        <f>(Table1[[#This Row],[Coating weight (mg)]]/1000)/(((Table1[[#This Row],[Electrode Thickness(µm)]]-Constants!$E$4)*10^-4)*Constants!$C$4)</f>
        <v>-10.752471641451896</v>
      </c>
    </row>
    <row r="347" spans="1:11" x14ac:dyDescent="0.35">
      <c r="A347" s="28">
        <v>12287</v>
      </c>
      <c r="C347" s="13" t="s">
        <v>154</v>
      </c>
      <c r="D347" t="s">
        <v>15</v>
      </c>
      <c r="E347">
        <v>20.9</v>
      </c>
      <c r="G347">
        <v>12.7</v>
      </c>
      <c r="H347">
        <f>Table1[[#This Row],[Total electrode weight (mg)]] - IF(ROW()&lt;40, Constants!$B$2 * PI()*(Table1[[#This Row],[Electrode Diameter(mm)]]/(10*2))^2, Constants!$B$4 * PI()*(Table1[[#This Row],[Electrode Diameter(mm)]]/(10*2))^2)</f>
        <v>16.845073398522274</v>
      </c>
      <c r="I347" s="12">
        <f t="shared" si="5"/>
        <v>15.665918260625716</v>
      </c>
      <c r="J347">
        <f>Table1[[#This Row],[Coating weight (mg)]]/Constants!$C$2</f>
        <v>13.297671018020276</v>
      </c>
      <c r="K347">
        <f>(Table1[[#This Row],[Coating weight (mg)]]/1000)/(((Table1[[#This Row],[Electrode Thickness(µm)]]-Constants!$E$4)*10^-4)*Constants!$C$4)</f>
        <v>-11.081392515016894</v>
      </c>
    </row>
    <row r="348" spans="1:11" x14ac:dyDescent="0.35">
      <c r="A348" s="28">
        <v>12288</v>
      </c>
      <c r="C348" s="13" t="s">
        <v>154</v>
      </c>
      <c r="D348" t="s">
        <v>15</v>
      </c>
      <c r="E348">
        <v>21.3</v>
      </c>
      <c r="G348">
        <v>12.7</v>
      </c>
      <c r="H348">
        <f>Table1[[#This Row],[Total electrode weight (mg)]] - IF(ROW()&lt;40, Constants!$B$2 * PI()*(Table1[[#This Row],[Electrode Diameter(mm)]]/(10*2))^2, Constants!$B$4 * PI()*(Table1[[#This Row],[Electrode Diameter(mm)]]/(10*2))^2)</f>
        <v>17.245073398522276</v>
      </c>
      <c r="I348" s="12">
        <f t="shared" si="5"/>
        <v>16.037918260625716</v>
      </c>
      <c r="J348">
        <f>Table1[[#This Row],[Coating weight (mg)]]/Constants!$C$2</f>
        <v>13.613435056642675</v>
      </c>
      <c r="K348">
        <f>(Table1[[#This Row],[Coating weight (mg)]]/1000)/(((Table1[[#This Row],[Electrode Thickness(µm)]]-Constants!$E$4)*10^-4)*Constants!$C$4)</f>
        <v>-11.344529213868896</v>
      </c>
    </row>
    <row r="349" spans="1:11" x14ac:dyDescent="0.35">
      <c r="A349" s="28">
        <v>12289</v>
      </c>
      <c r="C349" s="13" t="s">
        <v>154</v>
      </c>
      <c r="D349" t="s">
        <v>15</v>
      </c>
      <c r="E349">
        <v>21.2</v>
      </c>
      <c r="G349">
        <v>12.7</v>
      </c>
      <c r="H349">
        <f>Table1[[#This Row],[Total electrode weight (mg)]] - IF(ROW()&lt;40, Constants!$B$2 * PI()*(Table1[[#This Row],[Electrode Diameter(mm)]]/(10*2))^2, Constants!$B$4 * PI()*(Table1[[#This Row],[Electrode Diameter(mm)]]/(10*2))^2)</f>
        <v>17.145073398522275</v>
      </c>
      <c r="I349" s="12">
        <f t="shared" si="5"/>
        <v>15.944918260625716</v>
      </c>
      <c r="J349">
        <f>Table1[[#This Row],[Coating weight (mg)]]/Constants!$C$2</f>
        <v>13.534494046987074</v>
      </c>
      <c r="K349">
        <f>(Table1[[#This Row],[Coating weight (mg)]]/1000)/(((Table1[[#This Row],[Electrode Thickness(µm)]]-Constants!$E$4)*10^-4)*Constants!$C$4)</f>
        <v>-11.278745039155893</v>
      </c>
    </row>
    <row r="350" spans="1:11" x14ac:dyDescent="0.35">
      <c r="A350" s="28">
        <v>12290</v>
      </c>
      <c r="C350" s="13" t="s">
        <v>154</v>
      </c>
      <c r="D350" t="s">
        <v>15</v>
      </c>
      <c r="E350">
        <v>20.7</v>
      </c>
      <c r="G350">
        <v>12.7</v>
      </c>
      <c r="H350">
        <f>Table1[[#This Row],[Total electrode weight (mg)]] - IF(ROW()&lt;40, Constants!$B$2 * PI()*(Table1[[#This Row],[Electrode Diameter(mm)]]/(10*2))^2, Constants!$B$4 * PI()*(Table1[[#This Row],[Electrode Diameter(mm)]]/(10*2))^2)</f>
        <v>16.645073398522275</v>
      </c>
      <c r="I350" s="12">
        <f t="shared" si="5"/>
        <v>15.479918260625716</v>
      </c>
      <c r="J350">
        <f>Table1[[#This Row],[Coating weight (mg)]]/Constants!$C$2</f>
        <v>13.139788998709077</v>
      </c>
      <c r="K350">
        <f>(Table1[[#This Row],[Coating weight (mg)]]/1000)/(((Table1[[#This Row],[Electrode Thickness(µm)]]-Constants!$E$4)*10^-4)*Constants!$C$4)</f>
        <v>-10.949824165590895</v>
      </c>
    </row>
    <row r="351" spans="1:11" x14ac:dyDescent="0.35">
      <c r="A351" s="28">
        <v>12291</v>
      </c>
      <c r="C351" s="13" t="s">
        <v>152</v>
      </c>
      <c r="D351" t="s">
        <v>15</v>
      </c>
      <c r="E351">
        <v>20.100000000000001</v>
      </c>
      <c r="G351">
        <v>12.7</v>
      </c>
      <c r="H351">
        <f>Table1[[#This Row],[Total electrode weight (mg)]] - IF(ROW()&lt;40, Constants!$B$2 * PI()*(Table1[[#This Row],[Electrode Diameter(mm)]]/(10*2))^2, Constants!$B$4 * PI()*(Table1[[#This Row],[Electrode Diameter(mm)]]/(10*2))^2)</f>
        <v>16.045073398522277</v>
      </c>
      <c r="I351" s="12">
        <f t="shared" si="5"/>
        <v>14.921918260625718</v>
      </c>
      <c r="J351">
        <f>Table1[[#This Row],[Coating weight (mg)]]/Constants!$C$2</f>
        <v>12.666142940775483</v>
      </c>
      <c r="K351">
        <f>(Table1[[#This Row],[Coating weight (mg)]]/1000)/(((Table1[[#This Row],[Electrode Thickness(µm)]]-Constants!$E$4)*10^-4)*Constants!$C$4)</f>
        <v>-10.555119117312902</v>
      </c>
    </row>
    <row r="352" spans="1:11" x14ac:dyDescent="0.35">
      <c r="A352" s="28">
        <v>12292</v>
      </c>
      <c r="C352" s="13" t="s">
        <v>152</v>
      </c>
      <c r="D352" t="s">
        <v>15</v>
      </c>
      <c r="E352">
        <v>19.7</v>
      </c>
      <c r="G352">
        <v>12.7</v>
      </c>
      <c r="H352">
        <f>Table1[[#This Row],[Total electrode weight (mg)]] - IF(ROW()&lt;40, Constants!$B$2 * PI()*(Table1[[#This Row],[Electrode Diameter(mm)]]/(10*2))^2, Constants!$B$4 * PI()*(Table1[[#This Row],[Electrode Diameter(mm)]]/(10*2))^2)</f>
        <v>15.645073398522275</v>
      </c>
      <c r="I352" s="12">
        <f t="shared" si="5"/>
        <v>14.549918260625716</v>
      </c>
      <c r="J352">
        <f>Table1[[#This Row],[Coating weight (mg)]]/Constants!$C$2</f>
        <v>12.350378902153084</v>
      </c>
      <c r="K352">
        <f>(Table1[[#This Row],[Coating weight (mg)]]/1000)/(((Table1[[#This Row],[Electrode Thickness(µm)]]-Constants!$E$4)*10^-4)*Constants!$C$4)</f>
        <v>-10.291982418460901</v>
      </c>
    </row>
    <row r="353" spans="1:11" x14ac:dyDescent="0.35">
      <c r="A353" s="28">
        <v>12293</v>
      </c>
      <c r="C353" s="13" t="s">
        <v>148</v>
      </c>
      <c r="D353" t="s">
        <v>15</v>
      </c>
      <c r="E353">
        <v>21.3</v>
      </c>
      <c r="G353">
        <v>12.7</v>
      </c>
      <c r="H353">
        <f>Table1[[#This Row],[Total electrode weight (mg)]] - IF(ROW()&lt;40, Constants!$B$2 * PI()*(Table1[[#This Row],[Electrode Diameter(mm)]]/(10*2))^2, Constants!$B$4 * PI()*(Table1[[#This Row],[Electrode Diameter(mm)]]/(10*2))^2)</f>
        <v>17.245073398522276</v>
      </c>
      <c r="I353" s="12">
        <f t="shared" si="5"/>
        <v>16.037918260625716</v>
      </c>
      <c r="J353">
        <f>Table1[[#This Row],[Coating weight (mg)]]/Constants!$C$2</f>
        <v>13.613435056642675</v>
      </c>
      <c r="K353">
        <f>(Table1[[#This Row],[Coating weight (mg)]]/1000)/(((Table1[[#This Row],[Electrode Thickness(µm)]]-Constants!$E$4)*10^-4)*Constants!$C$4)</f>
        <v>-11.344529213868896</v>
      </c>
    </row>
    <row r="354" spans="1:11" x14ac:dyDescent="0.35">
      <c r="A354" s="28">
        <v>12294</v>
      </c>
      <c r="C354" s="13" t="s">
        <v>153</v>
      </c>
      <c r="D354" t="s">
        <v>15</v>
      </c>
      <c r="E354">
        <v>19.600000000000001</v>
      </c>
      <c r="G354">
        <v>12.7</v>
      </c>
      <c r="H354">
        <f>Table1[[#This Row],[Total electrode weight (mg)]] - IF(ROW()&lt;40, Constants!$B$2 * PI()*(Table1[[#This Row],[Electrode Diameter(mm)]]/(10*2))^2, Constants!$B$4 * PI()*(Table1[[#This Row],[Electrode Diameter(mm)]]/(10*2))^2)</f>
        <v>15.545073398522277</v>
      </c>
      <c r="I354" s="12">
        <f t="shared" si="5"/>
        <v>14.456918260625718</v>
      </c>
      <c r="J354">
        <f>Table1[[#This Row],[Coating weight (mg)]]/Constants!$C$2</f>
        <v>12.271437892497486</v>
      </c>
      <c r="K354">
        <f>(Table1[[#This Row],[Coating weight (mg)]]/1000)/(((Table1[[#This Row],[Electrode Thickness(µm)]]-Constants!$E$4)*10^-4)*Constants!$C$4)</f>
        <v>-10.226198243747904</v>
      </c>
    </row>
    <row r="355" spans="1:11" x14ac:dyDescent="0.35">
      <c r="A355" s="28">
        <v>12295</v>
      </c>
      <c r="C355" s="13" t="s">
        <v>152</v>
      </c>
      <c r="D355" t="s">
        <v>15</v>
      </c>
      <c r="E355">
        <v>19.2</v>
      </c>
      <c r="G355">
        <v>12.7</v>
      </c>
      <c r="H355">
        <f>Table1[[#This Row],[Total electrode weight (mg)]] - IF(ROW()&lt;40, Constants!$B$2 * PI()*(Table1[[#This Row],[Electrode Diameter(mm)]]/(10*2))^2, Constants!$B$4 * PI()*(Table1[[#This Row],[Electrode Diameter(mm)]]/(10*2))^2)</f>
        <v>15.145073398522275</v>
      </c>
      <c r="I355" s="12">
        <f t="shared" si="5"/>
        <v>14.084918260625717</v>
      </c>
      <c r="J355">
        <f>Table1[[#This Row],[Coating weight (mg)]]/Constants!$C$2</f>
        <v>11.955673853875085</v>
      </c>
      <c r="K355">
        <f>(Table1[[#This Row],[Coating weight (mg)]]/1000)/(((Table1[[#This Row],[Electrode Thickness(µm)]]-Constants!$E$4)*10^-4)*Constants!$C$4)</f>
        <v>-9.9630615448959041</v>
      </c>
    </row>
    <row r="356" spans="1:11" x14ac:dyDescent="0.35">
      <c r="A356" s="28">
        <v>12296</v>
      </c>
      <c r="C356" s="13" t="s">
        <v>152</v>
      </c>
      <c r="D356" t="s">
        <v>15</v>
      </c>
      <c r="E356">
        <v>20.399999999999999</v>
      </c>
      <c r="G356">
        <v>12.7</v>
      </c>
      <c r="H356">
        <f>Table1[[#This Row],[Total electrode weight (mg)]] - IF(ROW()&lt;40, Constants!$B$2 * PI()*(Table1[[#This Row],[Electrode Diameter(mm)]]/(10*2))^2, Constants!$B$4 * PI()*(Table1[[#This Row],[Electrode Diameter(mm)]]/(10*2))^2)</f>
        <v>16.345073398522274</v>
      </c>
      <c r="I356" s="12">
        <f t="shared" si="5"/>
        <v>15.200918260625716</v>
      </c>
      <c r="J356">
        <f>Table1[[#This Row],[Coating weight (mg)]]/Constants!$C$2</f>
        <v>12.902965969742278</v>
      </c>
      <c r="K356">
        <f>(Table1[[#This Row],[Coating weight (mg)]]/1000)/(((Table1[[#This Row],[Electrode Thickness(µm)]]-Constants!$E$4)*10^-4)*Constants!$C$4)</f>
        <v>-10.752471641451896</v>
      </c>
    </row>
    <row r="357" spans="1:11" x14ac:dyDescent="0.35">
      <c r="A357" s="28">
        <v>12297</v>
      </c>
      <c r="C357" s="13" t="s">
        <v>133</v>
      </c>
      <c r="D357" t="s">
        <v>15</v>
      </c>
      <c r="E357">
        <v>19.100000000000001</v>
      </c>
      <c r="F357">
        <v>200</v>
      </c>
      <c r="G357">
        <v>12.7</v>
      </c>
      <c r="H357">
        <f>Table1[[#This Row],[Total electrode weight (mg)]] - IF(ROW()&lt;40, Constants!$B$2 * PI()*(Table1[[#This Row],[Electrode Diameter(mm)]]/(10*2))^2, Constants!$B$4 * PI()*(Table1[[#This Row],[Electrode Diameter(mm)]]/(10*2))^2)</f>
        <v>15.045073398522277</v>
      </c>
      <c r="I357" s="12">
        <f t="shared" si="5"/>
        <v>13.991918260625718</v>
      </c>
      <c r="J357">
        <f>Table1[[#This Row],[Coating weight (mg)]]/Constants!$C$2</f>
        <v>11.876732844219488</v>
      </c>
      <c r="K357">
        <f>(Table1[[#This Row],[Coating weight (mg)]]/1000)/(((Table1[[#This Row],[Electrode Thickness(µm)]]-Constants!$E$4)*10^-4)*Constants!$C$4)</f>
        <v>0.63174110873507916</v>
      </c>
    </row>
    <row r="358" spans="1:11" x14ac:dyDescent="0.35">
      <c r="A358" s="28">
        <v>12298</v>
      </c>
      <c r="C358" s="13" t="s">
        <v>133</v>
      </c>
      <c r="D358" t="s">
        <v>15</v>
      </c>
      <c r="E358">
        <v>19.100000000000001</v>
      </c>
      <c r="F358">
        <v>200</v>
      </c>
      <c r="G358">
        <v>12.7</v>
      </c>
      <c r="H358">
        <f>Table1[[#This Row],[Total electrode weight (mg)]] - IF(ROW()&lt;40, Constants!$B$2 * PI()*(Table1[[#This Row],[Electrode Diameter(mm)]]/(10*2))^2, Constants!$B$4 * PI()*(Table1[[#This Row],[Electrode Diameter(mm)]]/(10*2))^2)</f>
        <v>15.045073398522277</v>
      </c>
      <c r="I358" s="12">
        <f t="shared" si="5"/>
        <v>13.991918260625718</v>
      </c>
      <c r="J358">
        <f>Table1[[#This Row],[Coating weight (mg)]]/Constants!$C$2</f>
        <v>11.876732844219488</v>
      </c>
      <c r="K358">
        <f>(Table1[[#This Row],[Coating weight (mg)]]/1000)/(((Table1[[#This Row],[Electrode Thickness(µm)]]-Constants!$E$4)*10^-4)*Constants!$C$4)</f>
        <v>0.63174110873507916</v>
      </c>
    </row>
    <row r="359" spans="1:11" x14ac:dyDescent="0.35">
      <c r="A359" s="28">
        <v>12299</v>
      </c>
      <c r="C359" s="13" t="s">
        <v>133</v>
      </c>
      <c r="D359" t="s">
        <v>15</v>
      </c>
      <c r="E359">
        <v>18.7</v>
      </c>
      <c r="F359">
        <v>200</v>
      </c>
      <c r="G359">
        <v>12.7</v>
      </c>
      <c r="H359">
        <f>Table1[[#This Row],[Total electrode weight (mg)]] - IF(ROW()&lt;40, Constants!$B$2 * PI()*(Table1[[#This Row],[Electrode Diameter(mm)]]/(10*2))^2, Constants!$B$4 * PI()*(Table1[[#This Row],[Electrode Diameter(mm)]]/(10*2))^2)</f>
        <v>14.645073398522275</v>
      </c>
      <c r="I359" s="12">
        <f t="shared" si="5"/>
        <v>13.619918260625717</v>
      </c>
      <c r="J359">
        <f>Table1[[#This Row],[Coating weight (mg)]]/Constants!$C$2</f>
        <v>11.560968805597089</v>
      </c>
      <c r="K359">
        <f>(Table1[[#This Row],[Coating weight (mg)]]/1000)/(((Table1[[#This Row],[Electrode Thickness(µm)]]-Constants!$E$4)*10^-4)*Constants!$C$4)</f>
        <v>0.61494514923388766</v>
      </c>
    </row>
    <row r="360" spans="1:11" x14ac:dyDescent="0.35">
      <c r="A360" s="28">
        <v>12300</v>
      </c>
      <c r="C360" s="13" t="s">
        <v>133</v>
      </c>
      <c r="D360" t="s">
        <v>15</v>
      </c>
      <c r="E360">
        <v>19.3</v>
      </c>
      <c r="F360">
        <v>200</v>
      </c>
      <c r="G360">
        <v>12.7</v>
      </c>
      <c r="H360">
        <f>Table1[[#This Row],[Total electrode weight (mg)]] - IF(ROW()&lt;40, Constants!$B$2 * PI()*(Table1[[#This Row],[Electrode Diameter(mm)]]/(10*2))^2, Constants!$B$4 * PI()*(Table1[[#This Row],[Electrode Diameter(mm)]]/(10*2))^2)</f>
        <v>15.245073398522276</v>
      </c>
      <c r="I360" s="12">
        <f t="shared" si="5"/>
        <v>14.177918260625718</v>
      </c>
      <c r="J360">
        <f>Table1[[#This Row],[Coating weight (mg)]]/Constants!$C$2</f>
        <v>12.034614863530686</v>
      </c>
      <c r="K360">
        <f>(Table1[[#This Row],[Coating weight (mg)]]/1000)/(((Table1[[#This Row],[Electrode Thickness(µm)]]-Constants!$E$4)*10^-4)*Constants!$C$4)</f>
        <v>0.6401390884856748</v>
      </c>
    </row>
    <row r="361" spans="1:11" x14ac:dyDescent="0.35">
      <c r="A361" s="28">
        <v>12301</v>
      </c>
      <c r="C361" s="13" t="s">
        <v>133</v>
      </c>
      <c r="D361" t="s">
        <v>15</v>
      </c>
      <c r="E361">
        <v>18.600000000000001</v>
      </c>
      <c r="F361">
        <v>200</v>
      </c>
      <c r="G361">
        <v>12.7</v>
      </c>
      <c r="H361">
        <f>Table1[[#This Row],[Total electrode weight (mg)]] - IF(ROW()&lt;40, Constants!$B$2 * PI()*(Table1[[#This Row],[Electrode Diameter(mm)]]/(10*2))^2, Constants!$B$4 * PI()*(Table1[[#This Row],[Electrode Diameter(mm)]]/(10*2))^2)</f>
        <v>14.545073398522277</v>
      </c>
      <c r="I361" s="12">
        <f t="shared" si="5"/>
        <v>13.526918260625719</v>
      </c>
      <c r="J361">
        <f>Table1[[#This Row],[Coating weight (mg)]]/Constants!$C$2</f>
        <v>11.482027795941491</v>
      </c>
      <c r="K361">
        <f>(Table1[[#This Row],[Coating weight (mg)]]/1000)/(((Table1[[#This Row],[Electrode Thickness(µm)]]-Constants!$E$4)*10^-4)*Constants!$C$4)</f>
        <v>0.61074615935858989</v>
      </c>
    </row>
    <row r="362" spans="1:11" x14ac:dyDescent="0.35">
      <c r="A362" s="28">
        <v>12302</v>
      </c>
      <c r="C362" s="13" t="s">
        <v>155</v>
      </c>
      <c r="D362" t="s">
        <v>15</v>
      </c>
      <c r="E362">
        <v>7.1</v>
      </c>
      <c r="G362">
        <v>12.7</v>
      </c>
      <c r="H362">
        <f>Table1[[#This Row],[Total electrode weight (mg)]] - IF(ROW()&lt;40, Constants!$B$2 * PI()*(Table1[[#This Row],[Electrode Diameter(mm)]]/(10*2))^2, Constants!$B$4 * PI()*(Table1[[#This Row],[Electrode Diameter(mm)]]/(10*2))^2)</f>
        <v>3.0450733985222742</v>
      </c>
      <c r="I362" s="12">
        <f t="shared" si="5"/>
        <v>2.8319182606257152</v>
      </c>
      <c r="J362">
        <f>Table1[[#This Row],[Coating weight (mg)]]/Constants!$C$2</f>
        <v>2.4038116855475575</v>
      </c>
      <c r="K362">
        <f>(Table1[[#This Row],[Coating weight (mg)]]/1000)/(((Table1[[#This Row],[Electrode Thickness(µm)]]-Constants!$E$4)*10^-4)*Constants!$C$4)</f>
        <v>-2.0031764046229643</v>
      </c>
    </row>
    <row r="363" spans="1:11" x14ac:dyDescent="0.35">
      <c r="A363" s="28">
        <v>12303</v>
      </c>
      <c r="C363" s="13" t="s">
        <v>155</v>
      </c>
      <c r="D363" t="s">
        <v>15</v>
      </c>
      <c r="E363">
        <v>6.7</v>
      </c>
      <c r="G363">
        <v>12.7</v>
      </c>
      <c r="H363">
        <f>Table1[[#This Row],[Total electrode weight (mg)]] - IF(ROW()&lt;40, Constants!$B$2 * PI()*(Table1[[#This Row],[Electrode Diameter(mm)]]/(10*2))^2, Constants!$B$4 * PI()*(Table1[[#This Row],[Electrode Diameter(mm)]]/(10*2))^2)</f>
        <v>2.6450733985222747</v>
      </c>
      <c r="I363" s="12">
        <f t="shared" si="5"/>
        <v>2.4599182606257157</v>
      </c>
      <c r="J363">
        <f>Table1[[#This Row],[Coating weight (mg)]]/Constants!$C$2</f>
        <v>2.0880476469251601</v>
      </c>
      <c r="K363">
        <f>(Table1[[#This Row],[Coating weight (mg)]]/1000)/(((Table1[[#This Row],[Electrode Thickness(µm)]]-Constants!$E$4)*10^-4)*Constants!$C$4)</f>
        <v>-1.7400397057709667</v>
      </c>
    </row>
    <row r="364" spans="1:11" x14ac:dyDescent="0.35">
      <c r="A364" s="28">
        <v>12304</v>
      </c>
      <c r="C364" s="13" t="s">
        <v>155</v>
      </c>
      <c r="D364" t="s">
        <v>15</v>
      </c>
      <c r="E364">
        <v>9.1999999999999993</v>
      </c>
      <c r="G364">
        <v>12.7</v>
      </c>
      <c r="H364">
        <f>Table1[[#This Row],[Total electrode weight (mg)]] - IF(ROW()&lt;40, Constants!$B$2 * PI()*(Table1[[#This Row],[Electrode Diameter(mm)]]/(10*2))^2, Constants!$B$4 * PI()*(Table1[[#This Row],[Electrode Diameter(mm)]]/(10*2))^2)</f>
        <v>5.1450733985222739</v>
      </c>
      <c r="I364" s="12">
        <f t="shared" si="5"/>
        <v>4.784918260625715</v>
      </c>
      <c r="J364">
        <f>Table1[[#This Row],[Coating weight (mg)]]/Constants!$C$2</f>
        <v>4.061572888315145</v>
      </c>
      <c r="K364">
        <f>(Table1[[#This Row],[Coating weight (mg)]]/1000)/(((Table1[[#This Row],[Electrode Thickness(µm)]]-Constants!$E$4)*10^-4)*Constants!$C$4)</f>
        <v>-3.3846440735959535</v>
      </c>
    </row>
    <row r="365" spans="1:11" x14ac:dyDescent="0.35">
      <c r="A365" s="28">
        <v>12305</v>
      </c>
      <c r="C365" s="13" t="s">
        <v>155</v>
      </c>
      <c r="D365" t="s">
        <v>15</v>
      </c>
      <c r="E365">
        <v>7.7</v>
      </c>
      <c r="G365">
        <v>12.7</v>
      </c>
      <c r="H365">
        <f>Table1[[#This Row],[Total electrode weight (mg)]] - IF(ROW()&lt;40, Constants!$B$2 * PI()*(Table1[[#This Row],[Electrode Diameter(mm)]]/(10*2))^2, Constants!$B$4 * PI()*(Table1[[#This Row],[Electrode Diameter(mm)]]/(10*2))^2)</f>
        <v>3.6450733985222747</v>
      </c>
      <c r="I365" s="12">
        <f t="shared" si="5"/>
        <v>3.3899182606257159</v>
      </c>
      <c r="J365">
        <f>Table1[[#This Row],[Coating weight (mg)]]/Constants!$C$2</f>
        <v>2.8774577434811546</v>
      </c>
      <c r="K365">
        <f>(Table1[[#This Row],[Coating weight (mg)]]/1000)/(((Table1[[#This Row],[Electrode Thickness(µm)]]-Constants!$E$4)*10^-4)*Constants!$C$4)</f>
        <v>-2.3978814529009616</v>
      </c>
    </row>
    <row r="366" spans="1:11" x14ac:dyDescent="0.35">
      <c r="A366" s="28">
        <v>12306</v>
      </c>
      <c r="C366" s="13" t="s">
        <v>155</v>
      </c>
      <c r="D366" t="s">
        <v>15</v>
      </c>
      <c r="E366">
        <v>7.2</v>
      </c>
      <c r="G366">
        <v>12.7</v>
      </c>
      <c r="H366">
        <f>Table1[[#This Row],[Total electrode weight (mg)]] - IF(ROW()&lt;40, Constants!$B$2 * PI()*(Table1[[#This Row],[Electrode Diameter(mm)]]/(10*2))^2, Constants!$B$4 * PI()*(Table1[[#This Row],[Electrode Diameter(mm)]]/(10*2))^2)</f>
        <v>3.1450733985222747</v>
      </c>
      <c r="I366" s="12">
        <f t="shared" si="5"/>
        <v>2.9249182606257156</v>
      </c>
      <c r="J366">
        <f>Table1[[#This Row],[Coating weight (mg)]]/Constants!$C$2</f>
        <v>2.4827526952031573</v>
      </c>
      <c r="K366">
        <f>(Table1[[#This Row],[Coating weight (mg)]]/1000)/(((Table1[[#This Row],[Electrode Thickness(µm)]]-Constants!$E$4)*10^-4)*Constants!$C$4)</f>
        <v>-2.0689605793359642</v>
      </c>
    </row>
    <row r="367" spans="1:11" x14ac:dyDescent="0.35">
      <c r="A367" s="28">
        <v>12307</v>
      </c>
      <c r="C367" s="13" t="s">
        <v>156</v>
      </c>
      <c r="D367" t="s">
        <v>15</v>
      </c>
      <c r="E367">
        <v>21.1</v>
      </c>
      <c r="F367">
        <v>200</v>
      </c>
      <c r="G367">
        <v>12.7</v>
      </c>
      <c r="H367">
        <f>Table1[[#This Row],[Total electrode weight (mg)]] - IF(ROW()&lt;40, Constants!$B$2 * PI()*(Table1[[#This Row],[Electrode Diameter(mm)]]/(10*2))^2, Constants!$B$4 * PI()*(Table1[[#This Row],[Electrode Diameter(mm)]]/(10*2))^2)</f>
        <v>17.045073398522277</v>
      </c>
      <c r="I367" s="12">
        <f t="shared" si="5"/>
        <v>15.851918260625718</v>
      </c>
      <c r="J367">
        <f>Table1[[#This Row],[Coating weight (mg)]]/Constants!$C$2</f>
        <v>13.455553037331477</v>
      </c>
      <c r="K367">
        <f>(Table1[[#This Row],[Coating weight (mg)]]/1000)/(((Table1[[#This Row],[Electrode Thickness(µm)]]-Constants!$E$4)*10^-4)*Constants!$C$4)</f>
        <v>0.71572090624103601</v>
      </c>
    </row>
    <row r="368" spans="1:11" x14ac:dyDescent="0.35">
      <c r="A368" s="28">
        <v>12308</v>
      </c>
      <c r="C368" s="13" t="s">
        <v>156</v>
      </c>
      <c r="D368" t="s">
        <v>15</v>
      </c>
      <c r="E368">
        <v>21.5</v>
      </c>
      <c r="F368">
        <v>200</v>
      </c>
      <c r="G368">
        <v>12.7</v>
      </c>
      <c r="H368">
        <f>Table1[[#This Row],[Total electrode weight (mg)]] - IF(ROW()&lt;40, Constants!$B$2 * PI()*(Table1[[#This Row],[Electrode Diameter(mm)]]/(10*2))^2, Constants!$B$4 * PI()*(Table1[[#This Row],[Electrode Diameter(mm)]]/(10*2))^2)</f>
        <v>17.445073398522275</v>
      </c>
      <c r="I368" s="12">
        <f t="shared" si="5"/>
        <v>16.223918260625716</v>
      </c>
      <c r="J368">
        <f>Table1[[#This Row],[Coating weight (mg)]]/Constants!$C$2</f>
        <v>13.771317075953872</v>
      </c>
      <c r="K368">
        <f>(Table1[[#This Row],[Coating weight (mg)]]/1000)/(((Table1[[#This Row],[Electrode Thickness(µm)]]-Constants!$E$4)*10^-4)*Constants!$C$4)</f>
        <v>0.7325168657422273</v>
      </c>
    </row>
    <row r="369" spans="1:15" x14ac:dyDescent="0.35">
      <c r="A369" s="28">
        <v>12309</v>
      </c>
      <c r="C369" s="13" t="s">
        <v>156</v>
      </c>
      <c r="D369" t="s">
        <v>15</v>
      </c>
      <c r="E369">
        <v>21</v>
      </c>
      <c r="F369">
        <v>200</v>
      </c>
      <c r="G369">
        <v>12.7</v>
      </c>
      <c r="H369">
        <f>Table1[[#This Row],[Total electrode weight (mg)]] - IF(ROW()&lt;40, Constants!$B$2 * PI()*(Table1[[#This Row],[Electrode Diameter(mm)]]/(10*2))^2, Constants!$B$4 * PI()*(Table1[[#This Row],[Electrode Diameter(mm)]]/(10*2))^2)</f>
        <v>16.945073398522275</v>
      </c>
      <c r="I369" s="12">
        <f t="shared" si="5"/>
        <v>15.758918260625718</v>
      </c>
      <c r="J369">
        <f>Table1[[#This Row],[Coating weight (mg)]]/Constants!$C$2</f>
        <v>13.376612027675876</v>
      </c>
      <c r="K369">
        <f>(Table1[[#This Row],[Coating weight (mg)]]/1000)/(((Table1[[#This Row],[Electrode Thickness(µm)]]-Constants!$E$4)*10^-4)*Constants!$C$4)</f>
        <v>0.71152191636573803</v>
      </c>
    </row>
    <row r="370" spans="1:15" x14ac:dyDescent="0.35">
      <c r="A370" s="28">
        <v>12310</v>
      </c>
      <c r="C370" s="13" t="s">
        <v>156</v>
      </c>
      <c r="D370" t="s">
        <v>15</v>
      </c>
      <c r="E370">
        <v>21.1</v>
      </c>
      <c r="F370">
        <v>200</v>
      </c>
      <c r="G370">
        <v>12.7</v>
      </c>
      <c r="H370">
        <f>Table1[[#This Row],[Total electrode weight (mg)]] - IF(ROW()&lt;40, Constants!$B$2 * PI()*(Table1[[#This Row],[Electrode Diameter(mm)]]/(10*2))^2, Constants!$B$4 * PI()*(Table1[[#This Row],[Electrode Diameter(mm)]]/(10*2))^2)</f>
        <v>17.045073398522277</v>
      </c>
      <c r="I370" s="12">
        <f t="shared" si="5"/>
        <v>15.851918260625718</v>
      </c>
      <c r="J370">
        <f>Table1[[#This Row],[Coating weight (mg)]]/Constants!$C$2</f>
        <v>13.455553037331477</v>
      </c>
      <c r="K370">
        <f>(Table1[[#This Row],[Coating weight (mg)]]/1000)/(((Table1[[#This Row],[Electrode Thickness(µm)]]-Constants!$E$4)*10^-4)*Constants!$C$4)</f>
        <v>0.71572090624103601</v>
      </c>
    </row>
    <row r="371" spans="1:15" x14ac:dyDescent="0.35">
      <c r="A371" s="28">
        <v>12311</v>
      </c>
      <c r="C371" s="13" t="s">
        <v>156</v>
      </c>
      <c r="D371" t="s">
        <v>15</v>
      </c>
      <c r="E371">
        <v>21.3</v>
      </c>
      <c r="F371">
        <v>200</v>
      </c>
      <c r="G371">
        <v>12.7</v>
      </c>
      <c r="H371">
        <f>Table1[[#This Row],[Total electrode weight (mg)]] - IF(ROW()&lt;40, Constants!$B$2 * PI()*(Table1[[#This Row],[Electrode Diameter(mm)]]/(10*2))^2, Constants!$B$4 * PI()*(Table1[[#This Row],[Electrode Diameter(mm)]]/(10*2))^2)</f>
        <v>17.245073398522276</v>
      </c>
      <c r="I371" s="12">
        <f t="shared" si="5"/>
        <v>16.037918260625716</v>
      </c>
      <c r="J371">
        <f>Table1[[#This Row],[Coating weight (mg)]]/Constants!$C$2</f>
        <v>13.613435056642675</v>
      </c>
      <c r="K371">
        <f>(Table1[[#This Row],[Coating weight (mg)]]/1000)/(((Table1[[#This Row],[Electrode Thickness(µm)]]-Constants!$E$4)*10^-4)*Constants!$C$4)</f>
        <v>0.72411888599163166</v>
      </c>
    </row>
    <row r="372" spans="1:15" x14ac:dyDescent="0.35">
      <c r="A372" s="28">
        <v>12312</v>
      </c>
      <c r="C372" s="13" t="s">
        <v>157</v>
      </c>
      <c r="D372" t="s">
        <v>15</v>
      </c>
      <c r="E372">
        <v>16.3</v>
      </c>
      <c r="F372">
        <v>200</v>
      </c>
      <c r="G372">
        <v>12.7</v>
      </c>
      <c r="H372">
        <f>Table1[[#This Row],[Total electrode weight (mg)]] - IF(ROW()&lt;40, Constants!$B$2 * PI()*(Table1[[#This Row],[Electrode Diameter(mm)]]/(10*2))^2, Constants!$B$4 * PI()*(Table1[[#This Row],[Electrode Diameter(mm)]]/(10*2))^2)</f>
        <v>12.245073398522276</v>
      </c>
      <c r="I372" s="12">
        <f t="shared" si="5"/>
        <v>11.387918260625717</v>
      </c>
      <c r="J372">
        <f>Table1[[#This Row],[Coating weight (mg)]]/Constants!$C$2</f>
        <v>9.6663845738627039</v>
      </c>
      <c r="K372">
        <f>(Table1[[#This Row],[Coating weight (mg)]]/1000)/(((Table1[[#This Row],[Electrode Thickness(µm)]]-Constants!$E$4)*10^-4)*Constants!$C$4)</f>
        <v>0.51416939222673963</v>
      </c>
    </row>
    <row r="373" spans="1:15" x14ac:dyDescent="0.35">
      <c r="A373" s="28">
        <v>12313</v>
      </c>
      <c r="C373" s="13" t="s">
        <v>157</v>
      </c>
      <c r="D373" t="s">
        <v>15</v>
      </c>
      <c r="E373">
        <v>16</v>
      </c>
      <c r="F373">
        <v>200</v>
      </c>
      <c r="G373">
        <v>12.7</v>
      </c>
      <c r="H373">
        <f>Table1[[#This Row],[Total electrode weight (mg)]] - IF(ROW()&lt;40, Constants!$B$2 * PI()*(Table1[[#This Row],[Electrode Diameter(mm)]]/(10*2))^2, Constants!$B$4 * PI()*(Table1[[#This Row],[Electrode Diameter(mm)]]/(10*2))^2)</f>
        <v>11.945073398522275</v>
      </c>
      <c r="I373" s="12">
        <f t="shared" si="5"/>
        <v>11.108918260625718</v>
      </c>
      <c r="J373">
        <f>Table1[[#This Row],[Coating weight (mg)]]/Constants!$C$2</f>
        <v>9.4295615448959058</v>
      </c>
      <c r="K373">
        <f>(Table1[[#This Row],[Coating weight (mg)]]/1000)/(((Table1[[#This Row],[Electrode Thickness(µm)]]-Constants!$E$4)*10^-4)*Constants!$C$4)</f>
        <v>0.501572422600846</v>
      </c>
    </row>
    <row r="374" spans="1:15" x14ac:dyDescent="0.35">
      <c r="A374" s="28">
        <v>12314</v>
      </c>
      <c r="C374" s="13" t="s">
        <v>157</v>
      </c>
      <c r="D374" t="s">
        <v>15</v>
      </c>
      <c r="E374">
        <v>16</v>
      </c>
      <c r="F374">
        <v>200</v>
      </c>
      <c r="G374">
        <v>12.7</v>
      </c>
      <c r="H374">
        <f>Table1[[#This Row],[Total electrode weight (mg)]] - IF(ROW()&lt;40, Constants!$B$2 * PI()*(Table1[[#This Row],[Electrode Diameter(mm)]]/(10*2))^2, Constants!$B$4 * PI()*(Table1[[#This Row],[Electrode Diameter(mm)]]/(10*2))^2)</f>
        <v>11.945073398522275</v>
      </c>
      <c r="I374" s="12">
        <f t="shared" si="5"/>
        <v>11.108918260625718</v>
      </c>
      <c r="J374">
        <f>Table1[[#This Row],[Coating weight (mg)]]/Constants!$C$2</f>
        <v>9.4295615448959058</v>
      </c>
      <c r="K374">
        <f>(Table1[[#This Row],[Coating weight (mg)]]/1000)/(((Table1[[#This Row],[Electrode Thickness(µm)]]-Constants!$E$4)*10^-4)*Constants!$C$4)</f>
        <v>0.501572422600846</v>
      </c>
    </row>
    <row r="375" spans="1:15" x14ac:dyDescent="0.35">
      <c r="A375" s="28">
        <v>12315</v>
      </c>
      <c r="C375" s="13" t="s">
        <v>157</v>
      </c>
      <c r="D375" t="s">
        <v>15</v>
      </c>
      <c r="E375">
        <v>16.399999999999999</v>
      </c>
      <c r="F375">
        <v>200</v>
      </c>
      <c r="G375">
        <v>12.7</v>
      </c>
      <c r="H375">
        <f>Table1[[#This Row],[Total electrode weight (mg)]] - IF(ROW()&lt;40, Constants!$B$2 * PI()*(Table1[[#This Row],[Electrode Diameter(mm)]]/(10*2))^2, Constants!$B$4 * PI()*(Table1[[#This Row],[Electrode Diameter(mm)]]/(10*2))^2)</f>
        <v>12.345073398522274</v>
      </c>
      <c r="I375" s="12">
        <f t="shared" si="5"/>
        <v>11.480918260625716</v>
      </c>
      <c r="J375">
        <f>Table1[[#This Row],[Coating weight (mg)]]/Constants!$C$2</f>
        <v>9.7453255835183015</v>
      </c>
      <c r="K375">
        <f>(Table1[[#This Row],[Coating weight (mg)]]/1000)/(((Table1[[#This Row],[Electrode Thickness(µm)]]-Constants!$E$4)*10^-4)*Constants!$C$4)</f>
        <v>0.51836838210203728</v>
      </c>
    </row>
    <row r="376" spans="1:15" x14ac:dyDescent="0.35">
      <c r="A376" s="28">
        <v>12316</v>
      </c>
      <c r="C376" s="13" t="s">
        <v>157</v>
      </c>
      <c r="D376" t="s">
        <v>15</v>
      </c>
      <c r="E376">
        <v>16.3</v>
      </c>
      <c r="F376">
        <v>200</v>
      </c>
      <c r="G376">
        <v>12.7</v>
      </c>
      <c r="H376">
        <f>Table1[[#This Row],[Total electrode weight (mg)]] - IF(ROW()&lt;40, Constants!$B$2 * PI()*(Table1[[#This Row],[Electrode Diameter(mm)]]/(10*2))^2, Constants!$B$4 * PI()*(Table1[[#This Row],[Electrode Diameter(mm)]]/(10*2))^2)</f>
        <v>12.245073398522276</v>
      </c>
      <c r="I376" s="12">
        <f t="shared" si="5"/>
        <v>11.387918260625717</v>
      </c>
      <c r="J376">
        <f>Table1[[#This Row],[Coating weight (mg)]]/Constants!$C$2</f>
        <v>9.6663845738627039</v>
      </c>
      <c r="K376">
        <f>(Table1[[#This Row],[Coating weight (mg)]]/1000)/(((Table1[[#This Row],[Electrode Thickness(µm)]]-Constants!$E$4)*10^-4)*Constants!$C$4)</f>
        <v>0.51416939222673963</v>
      </c>
    </row>
    <row r="377" spans="1:15" x14ac:dyDescent="0.35">
      <c r="A377" s="28">
        <v>12317</v>
      </c>
      <c r="C377" s="13" t="s">
        <v>156</v>
      </c>
      <c r="D377" t="s">
        <v>15</v>
      </c>
      <c r="E377">
        <v>20.8</v>
      </c>
      <c r="G377">
        <v>12.7</v>
      </c>
      <c r="H377">
        <f>Table1[[#This Row],[Total electrode weight (mg)]] - IF(ROW()&lt;40, Constants!$B$2 * PI()*(Table1[[#This Row],[Electrode Diameter(mm)]]/(10*2))^2, Constants!$B$4 * PI()*(Table1[[#This Row],[Electrode Diameter(mm)]]/(10*2))^2)</f>
        <v>16.745073398522276</v>
      </c>
      <c r="I377" s="12">
        <f t="shared" si="5"/>
        <v>15.572918260625718</v>
      </c>
      <c r="J377">
        <f>Table1[[#This Row],[Coating weight (mg)]]/Constants!$C$2</f>
        <v>13.218730008364679</v>
      </c>
      <c r="K377">
        <f>(Table1[[#This Row],[Coating weight (mg)]]/1000)/(((Table1[[#This Row],[Electrode Thickness(µm)]]-Constants!$E$4)*10^-4)*Constants!$C$4)</f>
        <v>-11.015608340303897</v>
      </c>
      <c r="O377" t="s">
        <v>158</v>
      </c>
    </row>
    <row r="378" spans="1:15" x14ac:dyDescent="0.35">
      <c r="A378" s="28">
        <v>12318</v>
      </c>
      <c r="C378" s="13" t="s">
        <v>156</v>
      </c>
      <c r="D378" t="s">
        <v>15</v>
      </c>
      <c r="E378">
        <v>20.7</v>
      </c>
      <c r="G378">
        <v>12.7</v>
      </c>
      <c r="H378">
        <f>Table1[[#This Row],[Total electrode weight (mg)]] - IF(ROW()&lt;40, Constants!$B$2 * PI()*(Table1[[#This Row],[Electrode Diameter(mm)]]/(10*2))^2, Constants!$B$4 * PI()*(Table1[[#This Row],[Electrode Diameter(mm)]]/(10*2))^2)</f>
        <v>16.645073398522275</v>
      </c>
      <c r="I378" s="12">
        <f t="shared" si="5"/>
        <v>15.479918260625716</v>
      </c>
      <c r="J378">
        <f>Table1[[#This Row],[Coating weight (mg)]]/Constants!$C$2</f>
        <v>13.139788998709077</v>
      </c>
      <c r="K378">
        <f>(Table1[[#This Row],[Coating weight (mg)]]/1000)/(((Table1[[#This Row],[Electrode Thickness(µm)]]-Constants!$E$4)*10^-4)*Constants!$C$4)</f>
        <v>-10.949824165590895</v>
      </c>
    </row>
    <row r="379" spans="1:15" x14ac:dyDescent="0.35">
      <c r="A379" s="28">
        <v>12319</v>
      </c>
      <c r="C379" s="13" t="s">
        <v>157</v>
      </c>
      <c r="D379" t="s">
        <v>15</v>
      </c>
      <c r="E379">
        <v>16.399999999999999</v>
      </c>
      <c r="G379">
        <v>12.7</v>
      </c>
      <c r="H379">
        <f>Table1[[#This Row],[Total electrode weight (mg)]] - IF(ROW()&lt;40, Constants!$B$2 * PI()*(Table1[[#This Row],[Electrode Diameter(mm)]]/(10*2))^2, Constants!$B$4 * PI()*(Table1[[#This Row],[Electrode Diameter(mm)]]/(10*2))^2)</f>
        <v>12.345073398522274</v>
      </c>
      <c r="I379" s="12">
        <f t="shared" si="5"/>
        <v>11.480918260625716</v>
      </c>
      <c r="J379">
        <f>Table1[[#This Row],[Coating weight (mg)]]/Constants!$C$2</f>
        <v>9.7453255835183015</v>
      </c>
      <c r="K379">
        <f>(Table1[[#This Row],[Coating weight (mg)]]/1000)/(((Table1[[#This Row],[Electrode Thickness(µm)]]-Constants!$E$4)*10^-4)*Constants!$C$4)</f>
        <v>-8.1211046529319173</v>
      </c>
      <c r="O379" t="s">
        <v>159</v>
      </c>
    </row>
    <row r="380" spans="1:15" x14ac:dyDescent="0.35">
      <c r="A380" s="28">
        <v>12320</v>
      </c>
      <c r="C380" s="13" t="s">
        <v>157</v>
      </c>
      <c r="D380" t="s">
        <v>15</v>
      </c>
      <c r="E380">
        <v>16.600000000000001</v>
      </c>
      <c r="G380">
        <v>12.7</v>
      </c>
      <c r="H380">
        <f>Table1[[#This Row],[Total electrode weight (mg)]] - IF(ROW()&lt;40, Constants!$B$2 * PI()*(Table1[[#This Row],[Electrode Diameter(mm)]]/(10*2))^2, Constants!$B$4 * PI()*(Table1[[#This Row],[Electrode Diameter(mm)]]/(10*2))^2)</f>
        <v>12.545073398522277</v>
      </c>
      <c r="I380" s="12">
        <f t="shared" si="5"/>
        <v>11.666918260625717</v>
      </c>
      <c r="J380">
        <f>Table1[[#This Row],[Coating weight (mg)]]/Constants!$C$2</f>
        <v>9.9032076028295037</v>
      </c>
      <c r="K380">
        <f>(Table1[[#This Row],[Coating weight (mg)]]/1000)/(((Table1[[#This Row],[Electrode Thickness(µm)]]-Constants!$E$4)*10^-4)*Constants!$C$4)</f>
        <v>-8.252673002357918</v>
      </c>
    </row>
    <row r="381" spans="1:15" x14ac:dyDescent="0.35">
      <c r="A381" s="28">
        <v>12321</v>
      </c>
      <c r="C381" s="13" t="s">
        <v>157</v>
      </c>
      <c r="D381" t="s">
        <v>15</v>
      </c>
      <c r="E381">
        <v>16.5</v>
      </c>
      <c r="G381">
        <v>12.7</v>
      </c>
      <c r="H381">
        <f>Table1[[#This Row],[Total electrode weight (mg)]] - IF(ROW()&lt;40, Constants!$B$2 * PI()*(Table1[[#This Row],[Electrode Diameter(mm)]]/(10*2))^2, Constants!$B$4 * PI()*(Table1[[#This Row],[Electrode Diameter(mm)]]/(10*2))^2)</f>
        <v>12.445073398522275</v>
      </c>
      <c r="I381" s="12">
        <f t="shared" si="5"/>
        <v>11.573918260625717</v>
      </c>
      <c r="J381">
        <f>Table1[[#This Row],[Coating weight (mg)]]/Constants!$C$2</f>
        <v>9.8242665931739026</v>
      </c>
      <c r="K381">
        <f>(Table1[[#This Row],[Coating weight (mg)]]/1000)/(((Table1[[#This Row],[Electrode Thickness(µm)]]-Constants!$E$4)*10^-4)*Constants!$C$4)</f>
        <v>-8.1868888276449177</v>
      </c>
    </row>
    <row r="382" spans="1:15" x14ac:dyDescent="0.35">
      <c r="A382" s="28">
        <v>12322</v>
      </c>
      <c r="C382" s="13" t="s">
        <v>160</v>
      </c>
      <c r="D382" t="s">
        <v>15</v>
      </c>
      <c r="E382">
        <v>11.7</v>
      </c>
      <c r="F382">
        <v>200</v>
      </c>
      <c r="G382">
        <v>12.7</v>
      </c>
      <c r="H382">
        <f>Table1[[#This Row],[Total electrode weight (mg)]] - IF(ROW()&lt;40, Constants!$B$2 * PI()*(Table1[[#This Row],[Electrode Diameter(mm)]]/(10*2))^2, Constants!$B$4 * PI()*(Table1[[#This Row],[Electrode Diameter(mm)]]/(10*2))^2)</f>
        <v>7.6450733985222739</v>
      </c>
      <c r="I382" s="12">
        <f t="shared" si="5"/>
        <v>7.1099182606257152</v>
      </c>
      <c r="J382">
        <f>Table1[[#This Row],[Coating weight (mg)]]/Constants!$C$2</f>
        <v>6.0350981297051298</v>
      </c>
      <c r="K382">
        <f>(Table1[[#This Row],[Coating weight (mg)]]/1000)/(((Table1[[#This Row],[Electrode Thickness(µm)]]-Constants!$E$4)*10^-4)*Constants!$C$4)</f>
        <v>0.32101585796303883</v>
      </c>
    </row>
    <row r="383" spans="1:15" x14ac:dyDescent="0.35">
      <c r="A383" s="28">
        <v>12323</v>
      </c>
      <c r="C383" s="13" t="s">
        <v>160</v>
      </c>
      <c r="D383" t="s">
        <v>15</v>
      </c>
      <c r="E383">
        <v>11.6</v>
      </c>
      <c r="F383">
        <v>200</v>
      </c>
      <c r="G383">
        <v>12.7</v>
      </c>
      <c r="H383">
        <f>Table1[[#This Row],[Total electrode weight (mg)]] - IF(ROW()&lt;40, Constants!$B$2 * PI()*(Table1[[#This Row],[Electrode Diameter(mm)]]/(10*2))^2, Constants!$B$4 * PI()*(Table1[[#This Row],[Electrode Diameter(mm)]]/(10*2))^2)</f>
        <v>7.5450733985222742</v>
      </c>
      <c r="I383" s="12">
        <f t="shared" si="5"/>
        <v>7.0169182606257152</v>
      </c>
      <c r="J383">
        <f>Table1[[#This Row],[Coating weight (mg)]]/Constants!$C$2</f>
        <v>5.9561571200495305</v>
      </c>
      <c r="K383">
        <f>(Table1[[#This Row],[Coating weight (mg)]]/1000)/(((Table1[[#This Row],[Electrode Thickness(µm)]]-Constants!$E$4)*10^-4)*Constants!$C$4)</f>
        <v>0.31681686808774101</v>
      </c>
    </row>
    <row r="384" spans="1:15" x14ac:dyDescent="0.35">
      <c r="A384" s="28">
        <v>12324</v>
      </c>
      <c r="C384" s="13" t="s">
        <v>160</v>
      </c>
      <c r="D384" t="s">
        <v>15</v>
      </c>
      <c r="E384">
        <v>11.7</v>
      </c>
      <c r="F384">
        <v>200</v>
      </c>
      <c r="G384">
        <v>12.7</v>
      </c>
      <c r="H384">
        <f>Table1[[#This Row],[Total electrode weight (mg)]] - IF(ROW()&lt;40, Constants!$B$2 * PI()*(Table1[[#This Row],[Electrode Diameter(mm)]]/(10*2))^2, Constants!$B$4 * PI()*(Table1[[#This Row],[Electrode Diameter(mm)]]/(10*2))^2)</f>
        <v>7.6450733985222739</v>
      </c>
      <c r="I384" s="12">
        <f t="shared" si="5"/>
        <v>7.1099182606257152</v>
      </c>
      <c r="J384">
        <f>Table1[[#This Row],[Coating weight (mg)]]/Constants!$C$2</f>
        <v>6.0350981297051298</v>
      </c>
      <c r="K384">
        <f>(Table1[[#This Row],[Coating weight (mg)]]/1000)/(((Table1[[#This Row],[Electrode Thickness(µm)]]-Constants!$E$4)*10^-4)*Constants!$C$4)</f>
        <v>0.32101585796303883</v>
      </c>
    </row>
    <row r="385" spans="1:15" x14ac:dyDescent="0.35">
      <c r="A385" s="28">
        <v>12325</v>
      </c>
      <c r="C385" s="13" t="s">
        <v>160</v>
      </c>
      <c r="D385" t="s">
        <v>15</v>
      </c>
      <c r="E385">
        <v>11.4</v>
      </c>
      <c r="F385">
        <v>200</v>
      </c>
      <c r="G385">
        <v>12.7</v>
      </c>
      <c r="H385">
        <f>Table1[[#This Row],[Total electrode weight (mg)]] - IF(ROW()&lt;40, Constants!$B$2 * PI()*(Table1[[#This Row],[Electrode Diameter(mm)]]/(10*2))^2, Constants!$B$4 * PI()*(Table1[[#This Row],[Electrode Diameter(mm)]]/(10*2))^2)</f>
        <v>7.3450733985222749</v>
      </c>
      <c r="I385" s="12">
        <f t="shared" si="5"/>
        <v>6.8309182606257162</v>
      </c>
      <c r="J385">
        <f>Table1[[#This Row],[Coating weight (mg)]]/Constants!$C$2</f>
        <v>5.7982751007383326</v>
      </c>
      <c r="K385">
        <f>(Table1[[#This Row],[Coating weight (mg)]]/1000)/(((Table1[[#This Row],[Electrode Thickness(µm)]]-Constants!$E$4)*10^-4)*Constants!$C$4)</f>
        <v>0.30841888833714531</v>
      </c>
    </row>
    <row r="386" spans="1:15" x14ac:dyDescent="0.35">
      <c r="A386" s="28">
        <v>12326</v>
      </c>
      <c r="C386" s="13" t="s">
        <v>160</v>
      </c>
      <c r="D386" t="s">
        <v>15</v>
      </c>
      <c r="E386">
        <v>11.2</v>
      </c>
      <c r="F386">
        <v>200</v>
      </c>
      <c r="G386">
        <v>12.7</v>
      </c>
      <c r="H386">
        <f>Table1[[#This Row],[Total electrode weight (mg)]] - IF(ROW()&lt;40, Constants!$B$2 * PI()*(Table1[[#This Row],[Electrode Diameter(mm)]]/(10*2))^2, Constants!$B$4 * PI()*(Table1[[#This Row],[Electrode Diameter(mm)]]/(10*2))^2)</f>
        <v>7.1450733985222739</v>
      </c>
      <c r="I386" s="12">
        <f t="shared" si="5"/>
        <v>6.6449182606257153</v>
      </c>
      <c r="J386">
        <f>Table1[[#This Row],[Coating weight (mg)]]/Constants!$C$2</f>
        <v>5.640393081427133</v>
      </c>
      <c r="K386">
        <f>(Table1[[#This Row],[Coating weight (mg)]]/1000)/(((Table1[[#This Row],[Electrode Thickness(µm)]]-Constants!$E$4)*10^-4)*Constants!$C$4)</f>
        <v>0.30002090858654962</v>
      </c>
    </row>
    <row r="387" spans="1:15" x14ac:dyDescent="0.35">
      <c r="A387" s="28">
        <v>12327</v>
      </c>
      <c r="C387" s="13" t="s">
        <v>161</v>
      </c>
      <c r="D387" t="s">
        <v>15</v>
      </c>
      <c r="E387">
        <v>21</v>
      </c>
      <c r="F387">
        <v>200</v>
      </c>
      <c r="G387">
        <v>12.7</v>
      </c>
      <c r="H387">
        <f>Table1[[#This Row],[Total electrode weight (mg)]] - IF(ROW()&lt;40, Constants!$B$2 * PI()*(Table1[[#This Row],[Electrode Diameter(mm)]]/(10*2))^2, Constants!$B$4 * PI()*(Table1[[#This Row],[Electrode Diameter(mm)]]/(10*2))^2)</f>
        <v>16.945073398522275</v>
      </c>
      <c r="I387" s="12">
        <f t="shared" ref="I387:I450" si="6">IF(D387="", "", IF(D387="RnD", H387*0.85, IF(D387="Production", H387*0.93, "Invalid")))</f>
        <v>15.758918260625718</v>
      </c>
      <c r="J387">
        <f>Table1[[#This Row],[Coating weight (mg)]]/Constants!$C$2</f>
        <v>13.376612027675876</v>
      </c>
      <c r="K387">
        <f>(Table1[[#This Row],[Coating weight (mg)]]/1000)/(((Table1[[#This Row],[Electrode Thickness(µm)]]-Constants!$E$4)*10^-4)*Constants!$C$4)</f>
        <v>0.71152191636573803</v>
      </c>
    </row>
    <row r="388" spans="1:15" x14ac:dyDescent="0.35">
      <c r="A388" s="28">
        <v>12328</v>
      </c>
      <c r="C388" s="13" t="s">
        <v>161</v>
      </c>
      <c r="D388" t="s">
        <v>15</v>
      </c>
      <c r="E388">
        <v>20.5</v>
      </c>
      <c r="F388">
        <v>200</v>
      </c>
      <c r="G388">
        <v>12.7</v>
      </c>
      <c r="H388">
        <f>Table1[[#This Row],[Total electrode weight (mg)]] - IF(ROW()&lt;40, Constants!$B$2 * PI()*(Table1[[#This Row],[Electrode Diameter(mm)]]/(10*2))^2, Constants!$B$4 * PI()*(Table1[[#This Row],[Electrode Diameter(mm)]]/(10*2))^2)</f>
        <v>16.445073398522275</v>
      </c>
      <c r="I388" s="12">
        <f t="shared" si="6"/>
        <v>15.293918260625716</v>
      </c>
      <c r="J388">
        <f>Table1[[#This Row],[Coating weight (mg)]]/Constants!$C$2</f>
        <v>12.981906979397879</v>
      </c>
      <c r="K388">
        <f>(Table1[[#This Row],[Coating weight (mg)]]/1000)/(((Table1[[#This Row],[Electrode Thickness(µm)]]-Constants!$E$4)*10^-4)*Constants!$C$4)</f>
        <v>0.69052696698924887</v>
      </c>
    </row>
    <row r="389" spans="1:15" x14ac:dyDescent="0.35">
      <c r="A389" s="28">
        <v>12329</v>
      </c>
      <c r="C389" s="13" t="s">
        <v>161</v>
      </c>
      <c r="D389" t="s">
        <v>15</v>
      </c>
      <c r="E389">
        <v>20.6</v>
      </c>
      <c r="F389">
        <v>200</v>
      </c>
      <c r="G389">
        <v>12.7</v>
      </c>
      <c r="H389">
        <f>Table1[[#This Row],[Total electrode weight (mg)]] - IF(ROW()&lt;40, Constants!$B$2 * PI()*(Table1[[#This Row],[Electrode Diameter(mm)]]/(10*2))^2, Constants!$B$4 * PI()*(Table1[[#This Row],[Electrode Diameter(mm)]]/(10*2))^2)</f>
        <v>16.545073398522277</v>
      </c>
      <c r="I389" s="12">
        <f t="shared" si="6"/>
        <v>15.386918260625718</v>
      </c>
      <c r="J389">
        <f>Table1[[#This Row],[Coating weight (mg)]]/Constants!$C$2</f>
        <v>13.06084798905348</v>
      </c>
      <c r="K389">
        <f>(Table1[[#This Row],[Coating weight (mg)]]/1000)/(((Table1[[#This Row],[Electrode Thickness(µm)]]-Constants!$E$4)*10^-4)*Constants!$C$4)</f>
        <v>0.69472595686454686</v>
      </c>
    </row>
    <row r="390" spans="1:15" x14ac:dyDescent="0.35">
      <c r="A390" s="28">
        <v>12330</v>
      </c>
      <c r="C390" s="13" t="s">
        <v>161</v>
      </c>
      <c r="D390" t="s">
        <v>15</v>
      </c>
      <c r="E390">
        <v>21</v>
      </c>
      <c r="F390">
        <v>200</v>
      </c>
      <c r="G390">
        <v>12.7</v>
      </c>
      <c r="H390">
        <f>Table1[[#This Row],[Total electrode weight (mg)]] - IF(ROW()&lt;40, Constants!$B$2 * PI()*(Table1[[#This Row],[Electrode Diameter(mm)]]/(10*2))^2, Constants!$B$4 * PI()*(Table1[[#This Row],[Electrode Diameter(mm)]]/(10*2))^2)</f>
        <v>16.945073398522275</v>
      </c>
      <c r="I390" s="12">
        <f t="shared" si="6"/>
        <v>15.758918260625718</v>
      </c>
      <c r="J390">
        <f>Table1[[#This Row],[Coating weight (mg)]]/Constants!$C$2</f>
        <v>13.376612027675876</v>
      </c>
      <c r="K390">
        <f>(Table1[[#This Row],[Coating weight (mg)]]/1000)/(((Table1[[#This Row],[Electrode Thickness(µm)]]-Constants!$E$4)*10^-4)*Constants!$C$4)</f>
        <v>0.71152191636573803</v>
      </c>
    </row>
    <row r="391" spans="1:15" x14ac:dyDescent="0.35">
      <c r="A391" s="28">
        <v>12331</v>
      </c>
      <c r="C391" s="13" t="s">
        <v>161</v>
      </c>
      <c r="D391" t="s">
        <v>15</v>
      </c>
      <c r="E391">
        <v>20.8</v>
      </c>
      <c r="F391">
        <v>200</v>
      </c>
      <c r="G391">
        <v>12.7</v>
      </c>
      <c r="H391">
        <f>Table1[[#This Row],[Total electrode weight (mg)]] - IF(ROW()&lt;40, Constants!$B$2 * PI()*(Table1[[#This Row],[Electrode Diameter(mm)]]/(10*2))^2, Constants!$B$4 * PI()*(Table1[[#This Row],[Electrode Diameter(mm)]]/(10*2))^2)</f>
        <v>16.745073398522276</v>
      </c>
      <c r="I391" s="12">
        <f t="shared" si="6"/>
        <v>15.572918260625718</v>
      </c>
      <c r="J391">
        <f>Table1[[#This Row],[Coating weight (mg)]]/Constants!$C$2</f>
        <v>13.218730008364679</v>
      </c>
      <c r="K391">
        <f>(Table1[[#This Row],[Coating weight (mg)]]/1000)/(((Table1[[#This Row],[Electrode Thickness(µm)]]-Constants!$E$4)*10^-4)*Constants!$C$4)</f>
        <v>0.70312393661514239</v>
      </c>
    </row>
    <row r="392" spans="1:15" x14ac:dyDescent="0.35">
      <c r="A392" s="28">
        <v>12332</v>
      </c>
      <c r="C392" s="13" t="s">
        <v>161</v>
      </c>
      <c r="D392" t="s">
        <v>15</v>
      </c>
      <c r="E392">
        <v>21.3</v>
      </c>
      <c r="G392">
        <v>12.7</v>
      </c>
      <c r="H392">
        <f>Table1[[#This Row],[Total electrode weight (mg)]] - IF(ROW()&lt;40, Constants!$B$2 * PI()*(Table1[[#This Row],[Electrode Diameter(mm)]]/(10*2))^2, Constants!$B$4 * PI()*(Table1[[#This Row],[Electrode Diameter(mm)]]/(10*2))^2)</f>
        <v>17.245073398522276</v>
      </c>
      <c r="I392" s="12">
        <f t="shared" si="6"/>
        <v>16.037918260625716</v>
      </c>
      <c r="J392">
        <f>Table1[[#This Row],[Coating weight (mg)]]/Constants!$C$2</f>
        <v>13.613435056642675</v>
      </c>
      <c r="K392">
        <f>(Table1[[#This Row],[Coating weight (mg)]]/1000)/(((Table1[[#This Row],[Electrode Thickness(µm)]]-Constants!$E$4)*10^-4)*Constants!$C$4)</f>
        <v>-11.344529213868896</v>
      </c>
    </row>
    <row r="393" spans="1:15" x14ac:dyDescent="0.35">
      <c r="A393" s="28">
        <v>12333</v>
      </c>
      <c r="C393" s="13" t="s">
        <v>161</v>
      </c>
      <c r="D393" t="s">
        <v>15</v>
      </c>
      <c r="E393">
        <v>20.7</v>
      </c>
      <c r="G393">
        <v>12.7</v>
      </c>
      <c r="H393">
        <f>Table1[[#This Row],[Total electrode weight (mg)]] - IF(ROW()&lt;40, Constants!$B$2 * PI()*(Table1[[#This Row],[Electrode Diameter(mm)]]/(10*2))^2, Constants!$B$4 * PI()*(Table1[[#This Row],[Electrode Diameter(mm)]]/(10*2))^2)</f>
        <v>16.645073398522275</v>
      </c>
      <c r="I393" s="12">
        <f t="shared" si="6"/>
        <v>15.479918260625716</v>
      </c>
      <c r="J393">
        <f>Table1[[#This Row],[Coating weight (mg)]]/Constants!$C$2</f>
        <v>13.139788998709077</v>
      </c>
      <c r="K393">
        <f>(Table1[[#This Row],[Coating weight (mg)]]/1000)/(((Table1[[#This Row],[Electrode Thickness(µm)]]-Constants!$E$4)*10^-4)*Constants!$C$4)</f>
        <v>-10.949824165590895</v>
      </c>
      <c r="O393" t="s">
        <v>162</v>
      </c>
    </row>
    <row r="394" spans="1:15" x14ac:dyDescent="0.35">
      <c r="A394" s="28">
        <v>12334</v>
      </c>
      <c r="C394" s="13" t="s">
        <v>161</v>
      </c>
      <c r="D394" t="s">
        <v>15</v>
      </c>
      <c r="E394">
        <v>21.2</v>
      </c>
      <c r="G394">
        <v>12.7</v>
      </c>
      <c r="H394">
        <f>Table1[[#This Row],[Total electrode weight (mg)]] - IF(ROW()&lt;40, Constants!$B$2 * PI()*(Table1[[#This Row],[Electrode Diameter(mm)]]/(10*2))^2, Constants!$B$4 * PI()*(Table1[[#This Row],[Electrode Diameter(mm)]]/(10*2))^2)</f>
        <v>17.145073398522275</v>
      </c>
      <c r="I394" s="12">
        <f t="shared" si="6"/>
        <v>15.944918260625716</v>
      </c>
      <c r="J394">
        <f>Table1[[#This Row],[Coating weight (mg)]]/Constants!$C$2</f>
        <v>13.534494046987074</v>
      </c>
      <c r="K394">
        <f>(Table1[[#This Row],[Coating weight (mg)]]/1000)/(((Table1[[#This Row],[Electrode Thickness(µm)]]-Constants!$E$4)*10^-4)*Constants!$C$4)</f>
        <v>-11.278745039155893</v>
      </c>
    </row>
    <row r="395" spans="1:15" x14ac:dyDescent="0.35">
      <c r="A395" s="28">
        <v>12335</v>
      </c>
      <c r="C395" s="13" t="s">
        <v>160</v>
      </c>
      <c r="D395" t="s">
        <v>15</v>
      </c>
      <c r="E395">
        <v>11.8</v>
      </c>
      <c r="G395">
        <v>12.7</v>
      </c>
      <c r="H395">
        <f>Table1[[#This Row],[Total electrode weight (mg)]] - IF(ROW()&lt;40, Constants!$B$2 * PI()*(Table1[[#This Row],[Electrode Diameter(mm)]]/(10*2))^2, Constants!$B$4 * PI()*(Table1[[#This Row],[Electrode Diameter(mm)]]/(10*2))^2)</f>
        <v>7.7450733985222753</v>
      </c>
      <c r="I395" s="12">
        <f t="shared" si="6"/>
        <v>7.2029182606257161</v>
      </c>
      <c r="J395">
        <f>Table1[[#This Row],[Coating weight (mg)]]/Constants!$C$2</f>
        <v>6.1140391393607301</v>
      </c>
      <c r="K395">
        <f>(Table1[[#This Row],[Coating weight (mg)]]/1000)/(((Table1[[#This Row],[Electrode Thickness(µm)]]-Constants!$E$4)*10^-4)*Constants!$C$4)</f>
        <v>-5.095032616133941</v>
      </c>
    </row>
    <row r="396" spans="1:15" x14ac:dyDescent="0.35">
      <c r="A396" s="28">
        <v>12336</v>
      </c>
      <c r="C396" s="13" t="s">
        <v>160</v>
      </c>
      <c r="D396" t="s">
        <v>15</v>
      </c>
      <c r="E396">
        <v>11.6</v>
      </c>
      <c r="G396">
        <v>12.7</v>
      </c>
      <c r="H396">
        <f>Table1[[#This Row],[Total electrode weight (mg)]] - IF(ROW()&lt;40, Constants!$B$2 * PI()*(Table1[[#This Row],[Electrode Diameter(mm)]]/(10*2))^2, Constants!$B$4 * PI()*(Table1[[#This Row],[Electrode Diameter(mm)]]/(10*2))^2)</f>
        <v>7.5450733985222742</v>
      </c>
      <c r="I396" s="12">
        <f t="shared" si="6"/>
        <v>7.0169182606257152</v>
      </c>
      <c r="J396">
        <f>Table1[[#This Row],[Coating weight (mg)]]/Constants!$C$2</f>
        <v>5.9561571200495305</v>
      </c>
      <c r="K396">
        <f>(Table1[[#This Row],[Coating weight (mg)]]/1000)/(((Table1[[#This Row],[Electrode Thickness(µm)]]-Constants!$E$4)*10^-4)*Constants!$C$4)</f>
        <v>-4.9634642667079421</v>
      </c>
    </row>
    <row r="397" spans="1:15" x14ac:dyDescent="0.35">
      <c r="A397" s="28">
        <v>12337</v>
      </c>
      <c r="C397" s="13" t="s">
        <v>160</v>
      </c>
      <c r="D397" t="s">
        <v>15</v>
      </c>
      <c r="E397">
        <v>11.8</v>
      </c>
      <c r="G397">
        <v>12.7</v>
      </c>
      <c r="H397">
        <f>Table1[[#This Row],[Total electrode weight (mg)]] - IF(ROW()&lt;40, Constants!$B$2 * PI()*(Table1[[#This Row],[Electrode Diameter(mm)]]/(10*2))^2, Constants!$B$4 * PI()*(Table1[[#This Row],[Electrode Diameter(mm)]]/(10*2))^2)</f>
        <v>7.7450733985222753</v>
      </c>
      <c r="I397" s="12">
        <f t="shared" si="6"/>
        <v>7.2029182606257161</v>
      </c>
      <c r="J397">
        <f>Table1[[#This Row],[Coating weight (mg)]]/Constants!$C$2</f>
        <v>6.1140391393607301</v>
      </c>
      <c r="K397">
        <f>(Table1[[#This Row],[Coating weight (mg)]]/1000)/(((Table1[[#This Row],[Electrode Thickness(µm)]]-Constants!$E$4)*10^-4)*Constants!$C$4)</f>
        <v>-5.095032616133941</v>
      </c>
    </row>
    <row r="398" spans="1:15" x14ac:dyDescent="0.35">
      <c r="A398" s="28">
        <v>12338</v>
      </c>
      <c r="C398" s="13" t="s">
        <v>163</v>
      </c>
      <c r="D398" t="s">
        <v>15</v>
      </c>
      <c r="E398">
        <v>21.1</v>
      </c>
      <c r="F398">
        <v>200</v>
      </c>
      <c r="G398">
        <v>12.7</v>
      </c>
      <c r="H398">
        <f>Table1[[#This Row],[Total electrode weight (mg)]] - IF(ROW()&lt;40, Constants!$B$2 * PI()*(Table1[[#This Row],[Electrode Diameter(mm)]]/(10*2))^2, Constants!$B$4 * PI()*(Table1[[#This Row],[Electrode Diameter(mm)]]/(10*2))^2)</f>
        <v>17.045073398522277</v>
      </c>
      <c r="I398" s="12">
        <f t="shared" si="6"/>
        <v>15.851918260625718</v>
      </c>
      <c r="J398">
        <f>Table1[[#This Row],[Coating weight (mg)]]/Constants!$C$2</f>
        <v>13.455553037331477</v>
      </c>
      <c r="K398">
        <f>(Table1[[#This Row],[Coating weight (mg)]]/1000)/(((Table1[[#This Row],[Electrode Thickness(µm)]]-Constants!$E$4)*10^-4)*Constants!$C$4)</f>
        <v>0.71572090624103601</v>
      </c>
      <c r="O398" t="s">
        <v>164</v>
      </c>
    </row>
    <row r="399" spans="1:15" x14ac:dyDescent="0.35">
      <c r="A399" s="28">
        <v>12339</v>
      </c>
      <c r="C399" s="13" t="s">
        <v>163</v>
      </c>
      <c r="D399" t="s">
        <v>15</v>
      </c>
      <c r="E399">
        <v>21.4</v>
      </c>
      <c r="F399">
        <v>200</v>
      </c>
      <c r="G399">
        <v>12.7</v>
      </c>
      <c r="H399">
        <f>Table1[[#This Row],[Total electrode weight (mg)]] - IF(ROW()&lt;40, Constants!$B$2 * PI()*(Table1[[#This Row],[Electrode Diameter(mm)]]/(10*2))^2, Constants!$B$4 * PI()*(Table1[[#This Row],[Electrode Diameter(mm)]]/(10*2))^2)</f>
        <v>17.345073398522274</v>
      </c>
      <c r="I399" s="12">
        <f t="shared" si="6"/>
        <v>16.130918260625716</v>
      </c>
      <c r="J399">
        <f>Table1[[#This Row],[Coating weight (mg)]]/Constants!$C$2</f>
        <v>13.692376066298273</v>
      </c>
      <c r="K399">
        <f>(Table1[[#This Row],[Coating weight (mg)]]/1000)/(((Table1[[#This Row],[Electrode Thickness(µm)]]-Constants!$E$4)*10^-4)*Constants!$C$4)</f>
        <v>0.72831787586692931</v>
      </c>
    </row>
    <row r="400" spans="1:15" x14ac:dyDescent="0.35">
      <c r="A400" s="28">
        <v>12340</v>
      </c>
      <c r="C400" s="13" t="s">
        <v>163</v>
      </c>
      <c r="D400" t="s">
        <v>15</v>
      </c>
      <c r="E400">
        <v>21.1</v>
      </c>
      <c r="F400">
        <v>200</v>
      </c>
      <c r="G400">
        <v>12.7</v>
      </c>
      <c r="H400">
        <f>Table1[[#This Row],[Total electrode weight (mg)]] - IF(ROW()&lt;40, Constants!$B$2 * PI()*(Table1[[#This Row],[Electrode Diameter(mm)]]/(10*2))^2, Constants!$B$4 * PI()*(Table1[[#This Row],[Electrode Diameter(mm)]]/(10*2))^2)</f>
        <v>17.045073398522277</v>
      </c>
      <c r="I400" s="12">
        <f t="shared" si="6"/>
        <v>15.851918260625718</v>
      </c>
      <c r="J400">
        <f>Table1[[#This Row],[Coating weight (mg)]]/Constants!$C$2</f>
        <v>13.455553037331477</v>
      </c>
      <c r="K400">
        <f>(Table1[[#This Row],[Coating weight (mg)]]/1000)/(((Table1[[#This Row],[Electrode Thickness(µm)]]-Constants!$E$4)*10^-4)*Constants!$C$4)</f>
        <v>0.71572090624103601</v>
      </c>
    </row>
    <row r="401" spans="1:15" x14ac:dyDescent="0.35">
      <c r="A401" s="28">
        <v>12341</v>
      </c>
      <c r="C401" s="13" t="s">
        <v>163</v>
      </c>
      <c r="D401" t="s">
        <v>15</v>
      </c>
      <c r="E401">
        <v>21.3</v>
      </c>
      <c r="F401">
        <v>200</v>
      </c>
      <c r="G401">
        <v>12.7</v>
      </c>
      <c r="H401">
        <f>Table1[[#This Row],[Total electrode weight (mg)]] - IF(ROW()&lt;40, Constants!$B$2 * PI()*(Table1[[#This Row],[Electrode Diameter(mm)]]/(10*2))^2, Constants!$B$4 * PI()*(Table1[[#This Row],[Electrode Diameter(mm)]]/(10*2))^2)</f>
        <v>17.245073398522276</v>
      </c>
      <c r="I401" s="12">
        <f t="shared" si="6"/>
        <v>16.037918260625716</v>
      </c>
      <c r="J401">
        <f>Table1[[#This Row],[Coating weight (mg)]]/Constants!$C$2</f>
        <v>13.613435056642675</v>
      </c>
      <c r="K401">
        <f>(Table1[[#This Row],[Coating weight (mg)]]/1000)/(((Table1[[#This Row],[Electrode Thickness(µm)]]-Constants!$E$4)*10^-4)*Constants!$C$4)</f>
        <v>0.72411888599163166</v>
      </c>
    </row>
    <row r="402" spans="1:15" x14ac:dyDescent="0.35">
      <c r="A402" s="28">
        <v>12342</v>
      </c>
      <c r="C402" s="13" t="s">
        <v>163</v>
      </c>
      <c r="D402" t="s">
        <v>15</v>
      </c>
      <c r="E402">
        <v>21.2</v>
      </c>
      <c r="F402">
        <v>200</v>
      </c>
      <c r="G402">
        <v>12.7</v>
      </c>
      <c r="H402">
        <f>Table1[[#This Row],[Total electrode weight (mg)]] - IF(ROW()&lt;40, Constants!$B$2 * PI()*(Table1[[#This Row],[Electrode Diameter(mm)]]/(10*2))^2, Constants!$B$4 * PI()*(Table1[[#This Row],[Electrode Diameter(mm)]]/(10*2))^2)</f>
        <v>17.145073398522275</v>
      </c>
      <c r="I402" s="12">
        <f t="shared" si="6"/>
        <v>15.944918260625716</v>
      </c>
      <c r="J402">
        <f>Table1[[#This Row],[Coating weight (mg)]]/Constants!$C$2</f>
        <v>13.534494046987074</v>
      </c>
      <c r="K402">
        <f>(Table1[[#This Row],[Coating weight (mg)]]/1000)/(((Table1[[#This Row],[Electrode Thickness(µm)]]-Constants!$E$4)*10^-4)*Constants!$C$4)</f>
        <v>0.71991989611633367</v>
      </c>
    </row>
    <row r="403" spans="1:15" x14ac:dyDescent="0.35">
      <c r="A403" s="28">
        <v>12343</v>
      </c>
      <c r="C403" s="13" t="s">
        <v>165</v>
      </c>
      <c r="D403" t="s">
        <v>15</v>
      </c>
      <c r="E403">
        <v>11.4</v>
      </c>
      <c r="F403">
        <v>200</v>
      </c>
      <c r="G403">
        <v>12.7</v>
      </c>
      <c r="H403">
        <f>Table1[[#This Row],[Total electrode weight (mg)]] - IF(ROW()&lt;40, Constants!$B$2 * PI()*(Table1[[#This Row],[Electrode Diameter(mm)]]/(10*2))^2, Constants!$B$4 * PI()*(Table1[[#This Row],[Electrode Diameter(mm)]]/(10*2))^2)</f>
        <v>7.3450733985222749</v>
      </c>
      <c r="I403" s="12">
        <f t="shared" si="6"/>
        <v>6.8309182606257162</v>
      </c>
      <c r="J403">
        <f>Table1[[#This Row],[Coating weight (mg)]]/Constants!$C$2</f>
        <v>5.7982751007383326</v>
      </c>
      <c r="K403">
        <f>(Table1[[#This Row],[Coating weight (mg)]]/1000)/(((Table1[[#This Row],[Electrode Thickness(µm)]]-Constants!$E$4)*10^-4)*Constants!$C$4)</f>
        <v>0.30841888833714531</v>
      </c>
      <c r="O403" t="s">
        <v>166</v>
      </c>
    </row>
    <row r="404" spans="1:15" x14ac:dyDescent="0.35">
      <c r="A404" s="28">
        <v>12344</v>
      </c>
      <c r="C404" s="13" t="s">
        <v>165</v>
      </c>
      <c r="D404" t="s">
        <v>15</v>
      </c>
      <c r="E404">
        <v>11.2</v>
      </c>
      <c r="F404">
        <v>200</v>
      </c>
      <c r="G404">
        <v>12.7</v>
      </c>
      <c r="H404">
        <f>Table1[[#This Row],[Total electrode weight (mg)]] - IF(ROW()&lt;40, Constants!$B$2 * PI()*(Table1[[#This Row],[Electrode Diameter(mm)]]/(10*2))^2, Constants!$B$4 * PI()*(Table1[[#This Row],[Electrode Diameter(mm)]]/(10*2))^2)</f>
        <v>7.1450733985222739</v>
      </c>
      <c r="I404" s="12">
        <f t="shared" si="6"/>
        <v>6.6449182606257153</v>
      </c>
      <c r="J404">
        <f>Table1[[#This Row],[Coating weight (mg)]]/Constants!$C$2</f>
        <v>5.640393081427133</v>
      </c>
      <c r="K404">
        <f>(Table1[[#This Row],[Coating weight (mg)]]/1000)/(((Table1[[#This Row],[Electrode Thickness(µm)]]-Constants!$E$4)*10^-4)*Constants!$C$4)</f>
        <v>0.30002090858654962</v>
      </c>
    </row>
    <row r="405" spans="1:15" x14ac:dyDescent="0.35">
      <c r="A405" s="5">
        <v>12345</v>
      </c>
      <c r="C405" s="13" t="s">
        <v>167</v>
      </c>
      <c r="D405" t="s">
        <v>15</v>
      </c>
      <c r="E405">
        <v>23.2</v>
      </c>
      <c r="F405">
        <v>200</v>
      </c>
      <c r="G405">
        <v>12.7</v>
      </c>
      <c r="H405">
        <f>Table1[[#This Row],[Total electrode weight (mg)]] - IF(ROW()&lt;40, Constants!$B$2 * PI()*(Table1[[#This Row],[Electrode Diameter(mm)]]/(10*2))^2, Constants!$B$4 * PI()*(Table1[[#This Row],[Electrode Diameter(mm)]]/(10*2))^2)</f>
        <v>19.145073398522275</v>
      </c>
      <c r="I405" s="12">
        <f t="shared" si="6"/>
        <v>17.804918260625715</v>
      </c>
      <c r="J405">
        <f>Table1[[#This Row],[Coating weight (mg)]]/Constants!$C$2</f>
        <v>15.113314240099063</v>
      </c>
      <c r="K405">
        <f>(Table1[[#This Row],[Coating weight (mg)]]/1000)/(((Table1[[#This Row],[Electrode Thickness(µm)]]-Constants!$E$4)*10^-4)*Constants!$C$4)</f>
        <v>0.80389969362229063</v>
      </c>
    </row>
    <row r="406" spans="1:15" x14ac:dyDescent="0.35">
      <c r="A406" s="5">
        <v>12346</v>
      </c>
      <c r="C406" s="13" t="s">
        <v>167</v>
      </c>
      <c r="D406" t="s">
        <v>15</v>
      </c>
      <c r="E406">
        <v>23.5</v>
      </c>
      <c r="F406">
        <v>200</v>
      </c>
      <c r="G406">
        <v>12.7</v>
      </c>
      <c r="H406">
        <f>Table1[[#This Row],[Total electrode weight (mg)]] - IF(ROW()&lt;40, Constants!$B$2 * PI()*(Table1[[#This Row],[Electrode Diameter(mm)]]/(10*2))^2, Constants!$B$4 * PI()*(Table1[[#This Row],[Electrode Diameter(mm)]]/(10*2))^2)</f>
        <v>19.445073398522275</v>
      </c>
      <c r="I406" s="12">
        <f t="shared" si="6"/>
        <v>18.083918260625715</v>
      </c>
      <c r="J406">
        <f>Table1[[#This Row],[Coating weight (mg)]]/Constants!$C$2</f>
        <v>15.350137269065861</v>
      </c>
      <c r="K406">
        <f>(Table1[[#This Row],[Coating weight (mg)]]/1000)/(((Table1[[#This Row],[Electrode Thickness(µm)]]-Constants!$E$4)*10^-4)*Constants!$C$4)</f>
        <v>0.81649666324818404</v>
      </c>
    </row>
    <row r="407" spans="1:15" x14ac:dyDescent="0.35">
      <c r="A407" s="5">
        <v>12347</v>
      </c>
      <c r="C407" s="13" t="s">
        <v>167</v>
      </c>
      <c r="D407" t="s">
        <v>15</v>
      </c>
      <c r="E407">
        <v>22.8</v>
      </c>
      <c r="F407">
        <v>200</v>
      </c>
      <c r="G407">
        <v>12.7</v>
      </c>
      <c r="H407">
        <f>Table1[[#This Row],[Total electrode weight (mg)]] - IF(ROW()&lt;40, Constants!$B$2 * PI()*(Table1[[#This Row],[Electrode Diameter(mm)]]/(10*2))^2, Constants!$B$4 * PI()*(Table1[[#This Row],[Electrode Diameter(mm)]]/(10*2))^2)</f>
        <v>18.745073398522276</v>
      </c>
      <c r="I407" s="12">
        <f t="shared" si="6"/>
        <v>17.432918260625719</v>
      </c>
      <c r="J407">
        <f>Table1[[#This Row],[Coating weight (mg)]]/Constants!$C$2</f>
        <v>14.797550201476666</v>
      </c>
      <c r="K407">
        <f>(Table1[[#This Row],[Coating weight (mg)]]/1000)/(((Table1[[#This Row],[Electrode Thickness(µm)]]-Constants!$E$4)*10^-4)*Constants!$C$4)</f>
        <v>0.78710373412109913</v>
      </c>
    </row>
    <row r="408" spans="1:15" x14ac:dyDescent="0.35">
      <c r="A408" s="5">
        <v>12348</v>
      </c>
      <c r="C408" s="13" t="s">
        <v>167</v>
      </c>
      <c r="D408" t="s">
        <v>15</v>
      </c>
      <c r="E408">
        <v>22.8</v>
      </c>
      <c r="F408">
        <v>200</v>
      </c>
      <c r="G408">
        <v>12.7</v>
      </c>
      <c r="H408">
        <f>Table1[[#This Row],[Total electrode weight (mg)]] - IF(ROW()&lt;40, Constants!$B$2 * PI()*(Table1[[#This Row],[Electrode Diameter(mm)]]/(10*2))^2, Constants!$B$4 * PI()*(Table1[[#This Row],[Electrode Diameter(mm)]]/(10*2))^2)</f>
        <v>18.745073398522276</v>
      </c>
      <c r="I408" s="12">
        <f t="shared" si="6"/>
        <v>17.432918260625719</v>
      </c>
      <c r="J408">
        <f>Table1[[#This Row],[Coating weight (mg)]]/Constants!$C$2</f>
        <v>14.797550201476666</v>
      </c>
      <c r="K408">
        <f>(Table1[[#This Row],[Coating weight (mg)]]/1000)/(((Table1[[#This Row],[Electrode Thickness(µm)]]-Constants!$E$4)*10^-4)*Constants!$C$4)</f>
        <v>0.78710373412109913</v>
      </c>
    </row>
    <row r="409" spans="1:15" x14ac:dyDescent="0.35">
      <c r="A409" s="5">
        <v>12349</v>
      </c>
      <c r="C409" s="13" t="s">
        <v>167</v>
      </c>
      <c r="D409" t="s">
        <v>15</v>
      </c>
      <c r="E409">
        <v>23</v>
      </c>
      <c r="F409">
        <v>200</v>
      </c>
      <c r="G409">
        <v>12.7</v>
      </c>
      <c r="H409">
        <f>Table1[[#This Row],[Total electrode weight (mg)]] - IF(ROW()&lt;40, Constants!$B$2 * PI()*(Table1[[#This Row],[Electrode Diameter(mm)]]/(10*2))^2, Constants!$B$4 * PI()*(Table1[[#This Row],[Electrode Diameter(mm)]]/(10*2))^2)</f>
        <v>18.945073398522275</v>
      </c>
      <c r="I409" s="12">
        <f t="shared" si="6"/>
        <v>17.618918260625716</v>
      </c>
      <c r="J409">
        <f>Table1[[#This Row],[Coating weight (mg)]]/Constants!$C$2</f>
        <v>14.955432220787864</v>
      </c>
      <c r="K409">
        <f>(Table1[[#This Row],[Coating weight (mg)]]/1000)/(((Table1[[#This Row],[Electrode Thickness(µm)]]-Constants!$E$4)*10^-4)*Constants!$C$4)</f>
        <v>0.79550171387169477</v>
      </c>
    </row>
    <row r="410" spans="1:15" x14ac:dyDescent="0.35">
      <c r="A410" s="5">
        <v>12350</v>
      </c>
      <c r="C410" s="13" t="s">
        <v>167</v>
      </c>
      <c r="D410" t="s">
        <v>15</v>
      </c>
      <c r="E410">
        <v>22.6</v>
      </c>
      <c r="F410">
        <v>200</v>
      </c>
      <c r="G410">
        <v>12.7</v>
      </c>
      <c r="H410">
        <f>Table1[[#This Row],[Total electrode weight (mg)]] - IF(ROW()&lt;40, Constants!$B$2 * PI()*(Table1[[#This Row],[Electrode Diameter(mm)]]/(10*2))^2, Constants!$B$4 * PI()*(Table1[[#This Row],[Electrode Diameter(mm)]]/(10*2))^2)</f>
        <v>18.545073398522277</v>
      </c>
      <c r="I410" s="12">
        <f t="shared" si="6"/>
        <v>17.246918260625719</v>
      </c>
      <c r="J410">
        <f>Table1[[#This Row],[Coating weight (mg)]]/Constants!$C$2</f>
        <v>14.639668182165467</v>
      </c>
      <c r="K410">
        <f>(Table1[[#This Row],[Coating weight (mg)]]/1000)/(((Table1[[#This Row],[Electrode Thickness(µm)]]-Constants!$E$4)*10^-4)*Constants!$C$4)</f>
        <v>0.77870575437050349</v>
      </c>
    </row>
    <row r="411" spans="1:15" x14ac:dyDescent="0.35">
      <c r="A411" s="28">
        <v>12360</v>
      </c>
      <c r="C411" s="13" t="s">
        <v>163</v>
      </c>
      <c r="D411" t="s">
        <v>15</v>
      </c>
      <c r="E411">
        <v>21.4</v>
      </c>
      <c r="G411">
        <v>12.7</v>
      </c>
      <c r="H411">
        <f>Table1[[#This Row],[Total electrode weight (mg)]] - IF(ROW()&lt;40, Constants!$B$2 * PI()*(Table1[[#This Row],[Electrode Diameter(mm)]]/(10*2))^2, Constants!$B$4 * PI()*(Table1[[#This Row],[Electrode Diameter(mm)]]/(10*2))^2)</f>
        <v>17.345073398522274</v>
      </c>
      <c r="I411" s="12">
        <f t="shared" si="6"/>
        <v>16.130918260625716</v>
      </c>
      <c r="J411">
        <f>Table1[[#This Row],[Coating weight (mg)]]/Constants!$C$2</f>
        <v>13.692376066298273</v>
      </c>
      <c r="K411">
        <f>(Table1[[#This Row],[Coating weight (mg)]]/1000)/(((Table1[[#This Row],[Electrode Thickness(µm)]]-Constants!$E$4)*10^-4)*Constants!$C$4)</f>
        <v>-11.410313388581892</v>
      </c>
    </row>
    <row r="412" spans="1:15" x14ac:dyDescent="0.35">
      <c r="A412" s="28">
        <v>12361</v>
      </c>
      <c r="C412" s="13" t="s">
        <v>163</v>
      </c>
      <c r="D412" t="s">
        <v>15</v>
      </c>
      <c r="E412">
        <v>21</v>
      </c>
      <c r="G412">
        <v>12.7</v>
      </c>
      <c r="H412">
        <f>Table1[[#This Row],[Total electrode weight (mg)]] - IF(ROW()&lt;40, Constants!$B$2 * PI()*(Table1[[#This Row],[Electrode Diameter(mm)]]/(10*2))^2, Constants!$B$4 * PI()*(Table1[[#This Row],[Electrode Diameter(mm)]]/(10*2))^2)</f>
        <v>16.945073398522275</v>
      </c>
      <c r="I412" s="12">
        <f t="shared" si="6"/>
        <v>15.758918260625718</v>
      </c>
      <c r="J412">
        <f>Table1[[#This Row],[Coating weight (mg)]]/Constants!$C$2</f>
        <v>13.376612027675876</v>
      </c>
      <c r="K412">
        <f>(Table1[[#This Row],[Coating weight (mg)]]/1000)/(((Table1[[#This Row],[Electrode Thickness(µm)]]-Constants!$E$4)*10^-4)*Constants!$C$4)</f>
        <v>-11.147176689729895</v>
      </c>
    </row>
    <row r="413" spans="1:15" x14ac:dyDescent="0.35">
      <c r="A413" s="28">
        <v>12362</v>
      </c>
      <c r="C413" s="13" t="s">
        <v>168</v>
      </c>
      <c r="D413" t="s">
        <v>15</v>
      </c>
      <c r="E413">
        <v>21.1</v>
      </c>
      <c r="G413">
        <v>12.7</v>
      </c>
      <c r="H413">
        <f>Table1[[#This Row],[Total electrode weight (mg)]] - IF(ROW()&lt;40, Constants!$B$2 * PI()*(Table1[[#This Row],[Electrode Diameter(mm)]]/(10*2))^2, Constants!$B$4 * PI()*(Table1[[#This Row],[Electrode Diameter(mm)]]/(10*2))^2)</f>
        <v>17.045073398522277</v>
      </c>
      <c r="I413" s="12">
        <f t="shared" si="6"/>
        <v>15.851918260625718</v>
      </c>
      <c r="J413">
        <f>Table1[[#This Row],[Coating weight (mg)]]/Constants!$C$2</f>
        <v>13.455553037331477</v>
      </c>
      <c r="K413">
        <f>(Table1[[#This Row],[Coating weight (mg)]]/1000)/(((Table1[[#This Row],[Electrode Thickness(µm)]]-Constants!$E$4)*10^-4)*Constants!$C$4)</f>
        <v>-11.212960864442897</v>
      </c>
    </row>
    <row r="414" spans="1:15" x14ac:dyDescent="0.35">
      <c r="A414" s="28">
        <v>12373</v>
      </c>
      <c r="C414" s="13" t="s">
        <v>169</v>
      </c>
      <c r="D414" t="s">
        <v>15</v>
      </c>
      <c r="E414">
        <v>21.8</v>
      </c>
      <c r="G414">
        <v>12.7</v>
      </c>
      <c r="H414">
        <f>Table1[[#This Row],[Total electrode weight (mg)]] - IF(ROW()&lt;40, Constants!$B$2 * PI()*(Table1[[#This Row],[Electrode Diameter(mm)]]/(10*2))^2, Constants!$B$4 * PI()*(Table1[[#This Row],[Electrode Diameter(mm)]]/(10*2))^2)</f>
        <v>17.745073398522276</v>
      </c>
      <c r="I414" s="12">
        <f t="shared" si="6"/>
        <v>16.502918260625719</v>
      </c>
      <c r="J414">
        <f>Table1[[#This Row],[Coating weight (mg)]]/Constants!$C$2</f>
        <v>14.008140104920672</v>
      </c>
      <c r="K414">
        <f>(Table1[[#This Row],[Coating weight (mg)]]/1000)/(((Table1[[#This Row],[Electrode Thickness(µm)]]-Constants!$E$4)*10^-4)*Constants!$C$4)</f>
        <v>-11.673450087433892</v>
      </c>
    </row>
    <row r="415" spans="1:15" x14ac:dyDescent="0.35">
      <c r="A415" s="28">
        <v>12374</v>
      </c>
      <c r="C415" s="13" t="s">
        <v>169</v>
      </c>
      <c r="D415" t="s">
        <v>15</v>
      </c>
      <c r="E415">
        <v>20.6</v>
      </c>
      <c r="G415">
        <v>12.7</v>
      </c>
      <c r="H415">
        <f>Table1[[#This Row],[Total electrode weight (mg)]] - IF(ROW()&lt;40, Constants!$B$2 * PI()*(Table1[[#This Row],[Electrode Diameter(mm)]]/(10*2))^2, Constants!$B$4 * PI()*(Table1[[#This Row],[Electrode Diameter(mm)]]/(10*2))^2)</f>
        <v>16.545073398522277</v>
      </c>
      <c r="I415" s="12">
        <f t="shared" si="6"/>
        <v>15.386918260625718</v>
      </c>
      <c r="J415">
        <f>Table1[[#This Row],[Coating weight (mg)]]/Constants!$C$2</f>
        <v>13.06084798905348</v>
      </c>
      <c r="K415">
        <f>(Table1[[#This Row],[Coating weight (mg)]]/1000)/(((Table1[[#This Row],[Electrode Thickness(µm)]]-Constants!$E$4)*10^-4)*Constants!$C$4)</f>
        <v>-10.884039990877898</v>
      </c>
    </row>
    <row r="416" spans="1:15" x14ac:dyDescent="0.35">
      <c r="A416" s="28">
        <v>12375</v>
      </c>
      <c r="C416" s="13" t="s">
        <v>169</v>
      </c>
      <c r="D416" t="s">
        <v>15</v>
      </c>
      <c r="E416">
        <v>21</v>
      </c>
      <c r="G416">
        <v>12.7</v>
      </c>
      <c r="H416">
        <f>Table1[[#This Row],[Total electrode weight (mg)]] - IF(ROW()&lt;40, Constants!$B$2 * PI()*(Table1[[#This Row],[Electrode Diameter(mm)]]/(10*2))^2, Constants!$B$4 * PI()*(Table1[[#This Row],[Electrode Diameter(mm)]]/(10*2))^2)</f>
        <v>16.945073398522275</v>
      </c>
      <c r="I416" s="12">
        <f t="shared" si="6"/>
        <v>15.758918260625718</v>
      </c>
      <c r="J416">
        <f>Table1[[#This Row],[Coating weight (mg)]]/Constants!$C$2</f>
        <v>13.376612027675876</v>
      </c>
      <c r="K416">
        <f>(Table1[[#This Row],[Coating weight (mg)]]/1000)/(((Table1[[#This Row],[Electrode Thickness(µm)]]-Constants!$E$4)*10^-4)*Constants!$C$4)</f>
        <v>-11.147176689729895</v>
      </c>
    </row>
    <row r="417" spans="1:11" x14ac:dyDescent="0.35">
      <c r="A417" s="28">
        <v>12376</v>
      </c>
      <c r="C417" s="13" t="s">
        <v>169</v>
      </c>
      <c r="D417" t="s">
        <v>15</v>
      </c>
      <c r="E417">
        <v>21.1</v>
      </c>
      <c r="G417">
        <v>12.7</v>
      </c>
      <c r="H417">
        <f>Table1[[#This Row],[Total electrode weight (mg)]] - IF(ROW()&lt;40, Constants!$B$2 * PI()*(Table1[[#This Row],[Electrode Diameter(mm)]]/(10*2))^2, Constants!$B$4 * PI()*(Table1[[#This Row],[Electrode Diameter(mm)]]/(10*2))^2)</f>
        <v>17.045073398522277</v>
      </c>
      <c r="I417" s="12">
        <f t="shared" si="6"/>
        <v>15.851918260625718</v>
      </c>
      <c r="J417">
        <f>Table1[[#This Row],[Coating weight (mg)]]/Constants!$C$2</f>
        <v>13.455553037331477</v>
      </c>
      <c r="K417">
        <f>(Table1[[#This Row],[Coating weight (mg)]]/1000)/(((Table1[[#This Row],[Electrode Thickness(µm)]]-Constants!$E$4)*10^-4)*Constants!$C$4)</f>
        <v>-11.212960864442897</v>
      </c>
    </row>
    <row r="418" spans="1:11" x14ac:dyDescent="0.35">
      <c r="A418" s="28">
        <v>12377</v>
      </c>
      <c r="C418" s="13" t="s">
        <v>169</v>
      </c>
      <c r="D418" t="s">
        <v>15</v>
      </c>
      <c r="E418">
        <v>21</v>
      </c>
      <c r="G418">
        <v>12.7</v>
      </c>
      <c r="H418">
        <f>Table1[[#This Row],[Total electrode weight (mg)]] - IF(ROW()&lt;40, Constants!$B$2 * PI()*(Table1[[#This Row],[Electrode Diameter(mm)]]/(10*2))^2, Constants!$B$4 * PI()*(Table1[[#This Row],[Electrode Diameter(mm)]]/(10*2))^2)</f>
        <v>16.945073398522275</v>
      </c>
      <c r="I418" s="12">
        <f t="shared" si="6"/>
        <v>15.758918260625718</v>
      </c>
      <c r="J418">
        <f>Table1[[#This Row],[Coating weight (mg)]]/Constants!$C$2</f>
        <v>13.376612027675876</v>
      </c>
      <c r="K418">
        <f>(Table1[[#This Row],[Coating weight (mg)]]/1000)/(((Table1[[#This Row],[Electrode Thickness(µm)]]-Constants!$E$4)*10^-4)*Constants!$C$4)</f>
        <v>-11.147176689729895</v>
      </c>
    </row>
    <row r="419" spans="1:11" x14ac:dyDescent="0.35">
      <c r="A419" s="28">
        <v>12378</v>
      </c>
      <c r="C419" s="13" t="s">
        <v>169</v>
      </c>
      <c r="D419" t="s">
        <v>15</v>
      </c>
      <c r="E419">
        <v>22.3</v>
      </c>
      <c r="G419">
        <v>12.7</v>
      </c>
      <c r="H419">
        <f>Table1[[#This Row],[Total electrode weight (mg)]] - IF(ROW()&lt;40, Constants!$B$2 * PI()*(Table1[[#This Row],[Electrode Diameter(mm)]]/(10*2))^2, Constants!$B$4 * PI()*(Table1[[#This Row],[Electrode Diameter(mm)]]/(10*2))^2)</f>
        <v>18.245073398522276</v>
      </c>
      <c r="I419" s="12">
        <f t="shared" si="6"/>
        <v>16.967918260625719</v>
      </c>
      <c r="J419">
        <f>Table1[[#This Row],[Coating weight (mg)]]/Constants!$C$2</f>
        <v>14.402845153198669</v>
      </c>
      <c r="K419">
        <f>(Table1[[#This Row],[Coating weight (mg)]]/1000)/(((Table1[[#This Row],[Electrode Thickness(µm)]]-Constants!$E$4)*10^-4)*Constants!$C$4)</f>
        <v>-12.002370960998888</v>
      </c>
    </row>
    <row r="420" spans="1:11" x14ac:dyDescent="0.35">
      <c r="A420" s="28">
        <v>12379</v>
      </c>
      <c r="C420" s="13" t="s">
        <v>169</v>
      </c>
      <c r="D420" t="s">
        <v>15</v>
      </c>
      <c r="E420">
        <v>22.5</v>
      </c>
      <c r="G420">
        <v>12.7</v>
      </c>
      <c r="H420">
        <f>Table1[[#This Row],[Total electrode weight (mg)]] - IF(ROW()&lt;40, Constants!$B$2 * PI()*(Table1[[#This Row],[Electrode Diameter(mm)]]/(10*2))^2, Constants!$B$4 * PI()*(Table1[[#This Row],[Electrode Diameter(mm)]]/(10*2))^2)</f>
        <v>18.445073398522275</v>
      </c>
      <c r="I420" s="12">
        <f t="shared" si="6"/>
        <v>17.153918260625716</v>
      </c>
      <c r="J420">
        <f>Table1[[#This Row],[Coating weight (mg)]]/Constants!$C$2</f>
        <v>14.560727172509868</v>
      </c>
      <c r="K420">
        <f>(Table1[[#This Row],[Coating weight (mg)]]/1000)/(((Table1[[#This Row],[Electrode Thickness(µm)]]-Constants!$E$4)*10^-4)*Constants!$C$4)</f>
        <v>-12.133939310424889</v>
      </c>
    </row>
    <row r="421" spans="1:11" x14ac:dyDescent="0.35">
      <c r="A421" s="28">
        <v>12380</v>
      </c>
      <c r="C421" s="13" t="s">
        <v>170</v>
      </c>
      <c r="D421" t="s">
        <v>15</v>
      </c>
      <c r="E421">
        <v>25</v>
      </c>
      <c r="G421">
        <v>12.7</v>
      </c>
      <c r="H421">
        <f>Table1[[#This Row],[Total electrode weight (mg)]] - IF(ROW()&lt;40, Constants!$B$2 * PI()*(Table1[[#This Row],[Electrode Diameter(mm)]]/(10*2))^2, Constants!$B$4 * PI()*(Table1[[#This Row],[Electrode Diameter(mm)]]/(10*2))^2)</f>
        <v>20.945073398522275</v>
      </c>
      <c r="I421" s="12">
        <f t="shared" si="6"/>
        <v>19.478918260625719</v>
      </c>
      <c r="J421">
        <f>Table1[[#This Row],[Coating weight (mg)]]/Constants!$C$2</f>
        <v>16.534252413899853</v>
      </c>
      <c r="K421">
        <f>(Table1[[#This Row],[Coating weight (mg)]]/1000)/(((Table1[[#This Row],[Electrode Thickness(µm)]]-Constants!$E$4)*10^-4)*Constants!$C$4)</f>
        <v>-13.778543678249875</v>
      </c>
    </row>
    <row r="422" spans="1:11" x14ac:dyDescent="0.35">
      <c r="A422" s="28">
        <v>12381</v>
      </c>
      <c r="C422" s="13" t="s">
        <v>170</v>
      </c>
      <c r="D422" t="s">
        <v>15</v>
      </c>
      <c r="E422">
        <v>25.2</v>
      </c>
      <c r="G422">
        <v>12.7</v>
      </c>
      <c r="H422">
        <f>Table1[[#This Row],[Total electrode weight (mg)]] - IF(ROW()&lt;40, Constants!$B$2 * PI()*(Table1[[#This Row],[Electrode Diameter(mm)]]/(10*2))^2, Constants!$B$4 * PI()*(Table1[[#This Row],[Electrode Diameter(mm)]]/(10*2))^2)</f>
        <v>21.145073398522275</v>
      </c>
      <c r="I422" s="12">
        <f t="shared" si="6"/>
        <v>19.664918260625715</v>
      </c>
      <c r="J422">
        <f>Table1[[#This Row],[Coating weight (mg)]]/Constants!$C$2</f>
        <v>16.692134433211052</v>
      </c>
      <c r="K422">
        <f>(Table1[[#This Row],[Coating weight (mg)]]/1000)/(((Table1[[#This Row],[Electrode Thickness(µm)]]-Constants!$E$4)*10^-4)*Constants!$C$4)</f>
        <v>-13.910112027675874</v>
      </c>
    </row>
    <row r="423" spans="1:11" x14ac:dyDescent="0.35">
      <c r="A423" s="28">
        <v>12382</v>
      </c>
      <c r="C423" s="13" t="s">
        <v>170</v>
      </c>
      <c r="D423" t="s">
        <v>15</v>
      </c>
      <c r="E423">
        <v>22</v>
      </c>
      <c r="G423">
        <v>12.7</v>
      </c>
      <c r="H423">
        <f>Table1[[#This Row],[Total electrode weight (mg)]] - IF(ROW()&lt;40, Constants!$B$2 * PI()*(Table1[[#This Row],[Electrode Diameter(mm)]]/(10*2))^2, Constants!$B$4 * PI()*(Table1[[#This Row],[Electrode Diameter(mm)]]/(10*2))^2)</f>
        <v>17.945073398522275</v>
      </c>
      <c r="I423" s="12">
        <f t="shared" si="6"/>
        <v>16.688918260625716</v>
      </c>
      <c r="J423">
        <f>Table1[[#This Row],[Coating weight (mg)]]/Constants!$C$2</f>
        <v>14.166022124231871</v>
      </c>
      <c r="K423">
        <f>(Table1[[#This Row],[Coating weight (mg)]]/1000)/(((Table1[[#This Row],[Electrode Thickness(µm)]]-Constants!$E$4)*10^-4)*Constants!$C$4)</f>
        <v>-11.805018436859891</v>
      </c>
    </row>
    <row r="424" spans="1:11" x14ac:dyDescent="0.35">
      <c r="A424" s="28">
        <v>12383</v>
      </c>
      <c r="C424" s="13" t="s">
        <v>170</v>
      </c>
      <c r="D424" t="s">
        <v>15</v>
      </c>
      <c r="E424">
        <v>22.2</v>
      </c>
      <c r="G424">
        <v>12.7</v>
      </c>
      <c r="H424">
        <f>Table1[[#This Row],[Total electrode weight (mg)]] - IF(ROW()&lt;40, Constants!$B$2 * PI()*(Table1[[#This Row],[Electrode Diameter(mm)]]/(10*2))^2, Constants!$B$4 * PI()*(Table1[[#This Row],[Electrode Diameter(mm)]]/(10*2))^2)</f>
        <v>18.145073398522275</v>
      </c>
      <c r="I424" s="12">
        <f t="shared" si="6"/>
        <v>16.874918260625716</v>
      </c>
      <c r="J424">
        <f>Table1[[#This Row],[Coating weight (mg)]]/Constants!$C$2</f>
        <v>14.323904143543068</v>
      </c>
      <c r="K424">
        <f>(Table1[[#This Row],[Coating weight (mg)]]/1000)/(((Table1[[#This Row],[Electrode Thickness(µm)]]-Constants!$E$4)*10^-4)*Constants!$C$4)</f>
        <v>-11.93658678628589</v>
      </c>
    </row>
    <row r="425" spans="1:11" x14ac:dyDescent="0.35">
      <c r="A425" s="28">
        <v>12384</v>
      </c>
      <c r="C425" s="13" t="s">
        <v>170</v>
      </c>
      <c r="D425" t="s">
        <v>15</v>
      </c>
      <c r="E425">
        <v>23.7</v>
      </c>
      <c r="G425">
        <v>12.7</v>
      </c>
      <c r="H425">
        <f>Table1[[#This Row],[Total electrode weight (mg)]] - IF(ROW()&lt;40, Constants!$B$2 * PI()*(Table1[[#This Row],[Electrode Diameter(mm)]]/(10*2))^2, Constants!$B$4 * PI()*(Table1[[#This Row],[Electrode Diameter(mm)]]/(10*2))^2)</f>
        <v>19.645073398522275</v>
      </c>
      <c r="I425" s="12">
        <f t="shared" si="6"/>
        <v>18.269918260625715</v>
      </c>
      <c r="J425">
        <f>Table1[[#This Row],[Coating weight (mg)]]/Constants!$C$2</f>
        <v>15.50801928837706</v>
      </c>
      <c r="K425">
        <f>(Table1[[#This Row],[Coating weight (mg)]]/1000)/(((Table1[[#This Row],[Electrode Thickness(µm)]]-Constants!$E$4)*10^-4)*Constants!$C$4)</f>
        <v>-12.923349406980881</v>
      </c>
    </row>
    <row r="426" spans="1:11" x14ac:dyDescent="0.35">
      <c r="A426" s="28">
        <v>12385</v>
      </c>
      <c r="C426" s="13" t="s">
        <v>170</v>
      </c>
      <c r="D426" t="s">
        <v>15</v>
      </c>
      <c r="E426">
        <v>24.1</v>
      </c>
      <c r="G426">
        <v>12.7</v>
      </c>
      <c r="H426">
        <f>Table1[[#This Row],[Total electrode weight (mg)]] - IF(ROW()&lt;40, Constants!$B$2 * PI()*(Table1[[#This Row],[Electrode Diameter(mm)]]/(10*2))^2, Constants!$B$4 * PI()*(Table1[[#This Row],[Electrode Diameter(mm)]]/(10*2))^2)</f>
        <v>20.045073398522277</v>
      </c>
      <c r="I426" s="12">
        <f t="shared" si="6"/>
        <v>18.641918260625719</v>
      </c>
      <c r="J426">
        <f>Table1[[#This Row],[Coating weight (mg)]]/Constants!$C$2</f>
        <v>15.823783326999459</v>
      </c>
      <c r="K426">
        <f>(Table1[[#This Row],[Coating weight (mg)]]/1000)/(((Table1[[#This Row],[Electrode Thickness(µm)]]-Constants!$E$4)*10^-4)*Constants!$C$4)</f>
        <v>-13.186486105832881</v>
      </c>
    </row>
    <row r="427" spans="1:11" x14ac:dyDescent="0.35">
      <c r="A427" s="28">
        <v>12386</v>
      </c>
      <c r="C427" s="13" t="s">
        <v>170</v>
      </c>
      <c r="D427" t="s">
        <v>15</v>
      </c>
      <c r="E427">
        <v>23</v>
      </c>
      <c r="G427">
        <v>12.7</v>
      </c>
      <c r="H427">
        <f>Table1[[#This Row],[Total electrode weight (mg)]] - IF(ROW()&lt;40, Constants!$B$2 * PI()*(Table1[[#This Row],[Electrode Diameter(mm)]]/(10*2))^2, Constants!$B$4 * PI()*(Table1[[#This Row],[Electrode Diameter(mm)]]/(10*2))^2)</f>
        <v>18.945073398522275</v>
      </c>
      <c r="I427" s="12">
        <f t="shared" si="6"/>
        <v>17.618918260625716</v>
      </c>
      <c r="J427">
        <f>Table1[[#This Row],[Coating weight (mg)]]/Constants!$C$2</f>
        <v>14.955432220787864</v>
      </c>
      <c r="K427">
        <f>(Table1[[#This Row],[Coating weight (mg)]]/1000)/(((Table1[[#This Row],[Electrode Thickness(µm)]]-Constants!$E$4)*10^-4)*Constants!$C$4)</f>
        <v>-12.462860183989884</v>
      </c>
    </row>
    <row r="428" spans="1:11" x14ac:dyDescent="0.35">
      <c r="A428" s="28">
        <v>12387</v>
      </c>
      <c r="C428" s="13" t="s">
        <v>170</v>
      </c>
      <c r="D428" t="s">
        <v>15</v>
      </c>
      <c r="E428">
        <v>22.1</v>
      </c>
      <c r="G428">
        <v>12.7</v>
      </c>
      <c r="H428">
        <f>Table1[[#This Row],[Total electrode weight (mg)]] - IF(ROW()&lt;40, Constants!$B$2 * PI()*(Table1[[#This Row],[Electrode Diameter(mm)]]/(10*2))^2, Constants!$B$4 * PI()*(Table1[[#This Row],[Electrode Diameter(mm)]]/(10*2))^2)</f>
        <v>18.045073398522277</v>
      </c>
      <c r="I428" s="12">
        <f t="shared" si="6"/>
        <v>16.781918260625719</v>
      </c>
      <c r="J428">
        <f>Table1[[#This Row],[Coating weight (mg)]]/Constants!$C$2</f>
        <v>14.24496313388747</v>
      </c>
      <c r="K428">
        <f>(Table1[[#This Row],[Coating weight (mg)]]/1000)/(((Table1[[#This Row],[Electrode Thickness(µm)]]-Constants!$E$4)*10^-4)*Constants!$C$4)</f>
        <v>-11.87080261157289</v>
      </c>
    </row>
    <row r="429" spans="1:11" x14ac:dyDescent="0.35">
      <c r="A429" s="28">
        <v>12388</v>
      </c>
      <c r="C429" s="13" t="s">
        <v>170</v>
      </c>
      <c r="D429" t="s">
        <v>15</v>
      </c>
      <c r="E429">
        <v>23.2</v>
      </c>
      <c r="G429">
        <v>12.7</v>
      </c>
      <c r="H429">
        <f>Table1[[#This Row],[Total electrode weight (mg)]] - IF(ROW()&lt;40, Constants!$B$2 * PI()*(Table1[[#This Row],[Electrode Diameter(mm)]]/(10*2))^2, Constants!$B$4 * PI()*(Table1[[#This Row],[Electrode Diameter(mm)]]/(10*2))^2)</f>
        <v>19.145073398522275</v>
      </c>
      <c r="I429" s="12">
        <f t="shared" si="6"/>
        <v>17.804918260625715</v>
      </c>
      <c r="J429">
        <f>Table1[[#This Row],[Coating weight (mg)]]/Constants!$C$2</f>
        <v>15.113314240099063</v>
      </c>
      <c r="K429">
        <f>(Table1[[#This Row],[Coating weight (mg)]]/1000)/(((Table1[[#This Row],[Electrode Thickness(µm)]]-Constants!$E$4)*10^-4)*Constants!$C$4)</f>
        <v>-12.594428533415885</v>
      </c>
    </row>
    <row r="430" spans="1:11" x14ac:dyDescent="0.35">
      <c r="A430" s="28">
        <v>12389</v>
      </c>
      <c r="C430" s="13" t="s">
        <v>171</v>
      </c>
      <c r="D430" t="s">
        <v>15</v>
      </c>
      <c r="E430">
        <v>22.5</v>
      </c>
      <c r="G430">
        <v>12.7</v>
      </c>
      <c r="H430">
        <f>Table1[[#This Row],[Total electrode weight (mg)]] - IF(ROW()&lt;40, Constants!$B$2 * PI()*(Table1[[#This Row],[Electrode Diameter(mm)]]/(10*2))^2, Constants!$B$4 * PI()*(Table1[[#This Row],[Electrode Diameter(mm)]]/(10*2))^2)</f>
        <v>18.445073398522275</v>
      </c>
      <c r="I430" s="12">
        <f t="shared" si="6"/>
        <v>17.153918260625716</v>
      </c>
      <c r="J430">
        <f>Table1[[#This Row],[Coating weight (mg)]]/Constants!$C$2</f>
        <v>14.560727172509868</v>
      </c>
      <c r="K430">
        <f>(Table1[[#This Row],[Coating weight (mg)]]/1000)/(((Table1[[#This Row],[Electrode Thickness(µm)]]-Constants!$E$4)*10^-4)*Constants!$C$4)</f>
        <v>-12.133939310424889</v>
      </c>
    </row>
    <row r="431" spans="1:11" x14ac:dyDescent="0.35">
      <c r="A431" s="28">
        <v>12390</v>
      </c>
      <c r="C431" s="13" t="s">
        <v>171</v>
      </c>
      <c r="D431" t="s">
        <v>15</v>
      </c>
      <c r="E431">
        <v>22.4</v>
      </c>
      <c r="G431">
        <v>12.7</v>
      </c>
      <c r="H431">
        <f>Table1[[#This Row],[Total electrode weight (mg)]] - IF(ROW()&lt;40, Constants!$B$2 * PI()*(Table1[[#This Row],[Electrode Diameter(mm)]]/(10*2))^2, Constants!$B$4 * PI()*(Table1[[#This Row],[Electrode Diameter(mm)]]/(10*2))^2)</f>
        <v>18.345073398522274</v>
      </c>
      <c r="I431" s="12">
        <f t="shared" si="6"/>
        <v>17.060918260625716</v>
      </c>
      <c r="J431">
        <f>Table1[[#This Row],[Coating weight (mg)]]/Constants!$C$2</f>
        <v>14.481786162854267</v>
      </c>
      <c r="K431">
        <f>(Table1[[#This Row],[Coating weight (mg)]]/1000)/(((Table1[[#This Row],[Electrode Thickness(µm)]]-Constants!$E$4)*10^-4)*Constants!$C$4)</f>
        <v>-12.068155135711887</v>
      </c>
    </row>
    <row r="432" spans="1:11" x14ac:dyDescent="0.35">
      <c r="A432" s="28">
        <v>12391</v>
      </c>
      <c r="C432" s="13" t="s">
        <v>171</v>
      </c>
      <c r="D432" t="s">
        <v>15</v>
      </c>
      <c r="E432">
        <v>22.5</v>
      </c>
      <c r="G432">
        <v>12.7</v>
      </c>
      <c r="H432">
        <f>Table1[[#This Row],[Total electrode weight (mg)]] - IF(ROW()&lt;40, Constants!$B$2 * PI()*(Table1[[#This Row],[Electrode Diameter(mm)]]/(10*2))^2, Constants!$B$4 * PI()*(Table1[[#This Row],[Electrode Diameter(mm)]]/(10*2))^2)</f>
        <v>18.445073398522275</v>
      </c>
      <c r="I432" s="12">
        <f t="shared" si="6"/>
        <v>17.153918260625716</v>
      </c>
      <c r="J432">
        <f>Table1[[#This Row],[Coating weight (mg)]]/Constants!$C$2</f>
        <v>14.560727172509868</v>
      </c>
      <c r="K432">
        <f>(Table1[[#This Row],[Coating weight (mg)]]/1000)/(((Table1[[#This Row],[Electrode Thickness(µm)]]-Constants!$E$4)*10^-4)*Constants!$C$4)</f>
        <v>-12.133939310424889</v>
      </c>
    </row>
    <row r="433" spans="1:11" x14ac:dyDescent="0.35">
      <c r="A433" s="28">
        <v>12392</v>
      </c>
      <c r="C433" s="13" t="s">
        <v>171</v>
      </c>
      <c r="D433" t="s">
        <v>15</v>
      </c>
      <c r="E433">
        <v>22.5</v>
      </c>
      <c r="G433">
        <v>12.7</v>
      </c>
      <c r="H433">
        <f>Table1[[#This Row],[Total electrode weight (mg)]] - IF(ROW()&lt;40, Constants!$B$2 * PI()*(Table1[[#This Row],[Electrode Diameter(mm)]]/(10*2))^2, Constants!$B$4 * PI()*(Table1[[#This Row],[Electrode Diameter(mm)]]/(10*2))^2)</f>
        <v>18.445073398522275</v>
      </c>
      <c r="I433" s="12">
        <f t="shared" si="6"/>
        <v>17.153918260625716</v>
      </c>
      <c r="J433">
        <f>Table1[[#This Row],[Coating weight (mg)]]/Constants!$C$2</f>
        <v>14.560727172509868</v>
      </c>
      <c r="K433">
        <f>(Table1[[#This Row],[Coating weight (mg)]]/1000)/(((Table1[[#This Row],[Electrode Thickness(µm)]]-Constants!$E$4)*10^-4)*Constants!$C$4)</f>
        <v>-12.133939310424889</v>
      </c>
    </row>
    <row r="434" spans="1:11" x14ac:dyDescent="0.35">
      <c r="A434" s="28">
        <v>12393</v>
      </c>
      <c r="C434" s="13" t="s">
        <v>171</v>
      </c>
      <c r="D434" t="s">
        <v>15</v>
      </c>
      <c r="E434">
        <v>23.5</v>
      </c>
      <c r="G434">
        <v>12.7</v>
      </c>
      <c r="H434">
        <f>Table1[[#This Row],[Total electrode weight (mg)]] - IF(ROW()&lt;40, Constants!$B$2 * PI()*(Table1[[#This Row],[Electrode Diameter(mm)]]/(10*2))^2, Constants!$B$4 * PI()*(Table1[[#This Row],[Electrode Diameter(mm)]]/(10*2))^2)</f>
        <v>19.445073398522275</v>
      </c>
      <c r="I434" s="12">
        <f t="shared" si="6"/>
        <v>18.083918260625715</v>
      </c>
      <c r="J434">
        <f>Table1[[#This Row],[Coating weight (mg)]]/Constants!$C$2</f>
        <v>15.350137269065861</v>
      </c>
      <c r="K434">
        <f>(Table1[[#This Row],[Coating weight (mg)]]/1000)/(((Table1[[#This Row],[Electrode Thickness(µm)]]-Constants!$E$4)*10^-4)*Constants!$C$4)</f>
        <v>-12.791781057554882</v>
      </c>
    </row>
    <row r="435" spans="1:11" x14ac:dyDescent="0.35">
      <c r="A435" s="28">
        <v>12403</v>
      </c>
      <c r="C435" s="13" t="s">
        <v>170</v>
      </c>
      <c r="D435" t="s">
        <v>15</v>
      </c>
      <c r="E435">
        <v>22.1</v>
      </c>
      <c r="G435">
        <v>12.7</v>
      </c>
      <c r="H435">
        <f>Table1[[#This Row],[Total electrode weight (mg)]] - IF(ROW()&lt;40, Constants!$B$2 * PI()*(Table1[[#This Row],[Electrode Diameter(mm)]]/(10*2))^2, Constants!$B$4 * PI()*(Table1[[#This Row],[Electrode Diameter(mm)]]/(10*2))^2)</f>
        <v>18.045073398522277</v>
      </c>
      <c r="I435" s="12">
        <f t="shared" si="6"/>
        <v>16.781918260625719</v>
      </c>
      <c r="J435">
        <f>Table1[[#This Row],[Coating weight (mg)]]/Constants!$C$2</f>
        <v>14.24496313388747</v>
      </c>
      <c r="K435">
        <f>(Table1[[#This Row],[Coating weight (mg)]]/1000)/(((Table1[[#This Row],[Electrode Thickness(µm)]]-Constants!$E$4)*10^-4)*Constants!$C$4)</f>
        <v>-11.87080261157289</v>
      </c>
    </row>
    <row r="436" spans="1:11" x14ac:dyDescent="0.35">
      <c r="A436" s="28">
        <v>12404</v>
      </c>
      <c r="C436" s="13" t="s">
        <v>170</v>
      </c>
      <c r="D436" t="s">
        <v>15</v>
      </c>
      <c r="E436">
        <v>22.9</v>
      </c>
      <c r="G436">
        <v>12.7</v>
      </c>
      <c r="H436">
        <f>Table1[[#This Row],[Total electrode weight (mg)]] - IF(ROW()&lt;40, Constants!$B$2 * PI()*(Table1[[#This Row],[Electrode Diameter(mm)]]/(10*2))^2, Constants!$B$4 * PI()*(Table1[[#This Row],[Electrode Diameter(mm)]]/(10*2))^2)</f>
        <v>18.845073398522274</v>
      </c>
      <c r="I436" s="12">
        <f t="shared" si="6"/>
        <v>17.525918260625716</v>
      </c>
      <c r="J436">
        <f>Table1[[#This Row],[Coating weight (mg)]]/Constants!$C$2</f>
        <v>14.876491211132263</v>
      </c>
      <c r="K436">
        <f>(Table1[[#This Row],[Coating weight (mg)]]/1000)/(((Table1[[#This Row],[Electrode Thickness(µm)]]-Constants!$E$4)*10^-4)*Constants!$C$4)</f>
        <v>-12.397076009276885</v>
      </c>
    </row>
    <row r="437" spans="1:11" x14ac:dyDescent="0.35">
      <c r="A437" s="28">
        <v>12405</v>
      </c>
      <c r="C437" s="13" t="s">
        <v>170</v>
      </c>
      <c r="D437" t="s">
        <v>15</v>
      </c>
      <c r="E437">
        <v>22.8</v>
      </c>
      <c r="G437">
        <v>12.7</v>
      </c>
      <c r="H437">
        <f>Table1[[#This Row],[Total electrode weight (mg)]] - IF(ROW()&lt;40, Constants!$B$2 * PI()*(Table1[[#This Row],[Electrode Diameter(mm)]]/(10*2))^2, Constants!$B$4 * PI()*(Table1[[#This Row],[Electrode Diameter(mm)]]/(10*2))^2)</f>
        <v>18.745073398522276</v>
      </c>
      <c r="I437" s="12">
        <f t="shared" si="6"/>
        <v>17.432918260625719</v>
      </c>
      <c r="J437">
        <f>Table1[[#This Row],[Coating weight (mg)]]/Constants!$C$2</f>
        <v>14.797550201476666</v>
      </c>
      <c r="K437">
        <f>(Table1[[#This Row],[Coating weight (mg)]]/1000)/(((Table1[[#This Row],[Electrode Thickness(µm)]]-Constants!$E$4)*10^-4)*Constants!$C$4)</f>
        <v>-12.331291834563887</v>
      </c>
    </row>
    <row r="438" spans="1:11" x14ac:dyDescent="0.35">
      <c r="A438" s="28">
        <v>12406</v>
      </c>
      <c r="C438" s="13" t="s">
        <v>170</v>
      </c>
      <c r="D438" t="s">
        <v>15</v>
      </c>
      <c r="E438">
        <v>23.3</v>
      </c>
      <c r="G438">
        <v>12.7</v>
      </c>
      <c r="H438">
        <f>Table1[[#This Row],[Total electrode weight (mg)]] - IF(ROW()&lt;40, Constants!$B$2 * PI()*(Table1[[#This Row],[Electrode Diameter(mm)]]/(10*2))^2, Constants!$B$4 * PI()*(Table1[[#This Row],[Electrode Diameter(mm)]]/(10*2))^2)</f>
        <v>19.245073398522276</v>
      </c>
      <c r="I438" s="12">
        <f t="shared" si="6"/>
        <v>17.897918260625719</v>
      </c>
      <c r="J438">
        <f>Table1[[#This Row],[Coating weight (mg)]]/Constants!$C$2</f>
        <v>15.192255249754663</v>
      </c>
      <c r="K438">
        <f>(Table1[[#This Row],[Coating weight (mg)]]/1000)/(((Table1[[#This Row],[Electrode Thickness(µm)]]-Constants!$E$4)*10^-4)*Constants!$C$4)</f>
        <v>-12.660212708128883</v>
      </c>
    </row>
    <row r="439" spans="1:11" x14ac:dyDescent="0.35">
      <c r="A439" s="5">
        <v>12407</v>
      </c>
      <c r="C439" s="13" t="s">
        <v>172</v>
      </c>
      <c r="D439" t="s">
        <v>15</v>
      </c>
      <c r="E439">
        <v>20.7</v>
      </c>
      <c r="F439">
        <v>120</v>
      </c>
      <c r="G439">
        <v>12.7</v>
      </c>
      <c r="H439">
        <f>Table1[[#This Row],[Total electrode weight (mg)]] - IF(ROW()&lt;40, Constants!$B$2 * PI()*(Table1[[#This Row],[Electrode Diameter(mm)]]/(10*2))^2, Constants!$B$4 * PI()*(Table1[[#This Row],[Electrode Diameter(mm)]]/(10*2))^2)</f>
        <v>16.645073398522275</v>
      </c>
      <c r="I439" s="12">
        <f t="shared" si="6"/>
        <v>15.479918260625716</v>
      </c>
      <c r="J439">
        <f>Table1[[#This Row],[Coating weight (mg)]]/Constants!$C$2</f>
        <v>13.139788998709077</v>
      </c>
      <c r="K439">
        <f>(Table1[[#This Row],[Coating weight (mg)]]/1000)/(((Table1[[#This Row],[Electrode Thickness(µm)]]-Constants!$E$4)*10^-4)*Constants!$C$4)</f>
        <v>1.2166471295100996</v>
      </c>
    </row>
    <row r="440" spans="1:11" x14ac:dyDescent="0.35">
      <c r="A440" s="5">
        <v>12408</v>
      </c>
      <c r="C440" s="13" t="s">
        <v>172</v>
      </c>
      <c r="D440" t="s">
        <v>15</v>
      </c>
      <c r="E440">
        <v>19.600000000000001</v>
      </c>
      <c r="F440">
        <v>120</v>
      </c>
      <c r="G440">
        <v>12.7</v>
      </c>
      <c r="H440">
        <f>Table1[[#This Row],[Total electrode weight (mg)]] - IF(ROW()&lt;40, Constants!$B$2 * PI()*(Table1[[#This Row],[Electrode Diameter(mm)]]/(10*2))^2, Constants!$B$4 * PI()*(Table1[[#This Row],[Electrode Diameter(mm)]]/(10*2))^2)</f>
        <v>15.545073398522277</v>
      </c>
      <c r="I440" s="12">
        <f t="shared" si="6"/>
        <v>14.456918260625718</v>
      </c>
      <c r="J440">
        <f>Table1[[#This Row],[Coating weight (mg)]]/Constants!$C$2</f>
        <v>12.271437892497486</v>
      </c>
      <c r="K440">
        <f>(Table1[[#This Row],[Coating weight (mg)]]/1000)/(((Table1[[#This Row],[Electrode Thickness(µm)]]-Constants!$E$4)*10^-4)*Constants!$C$4)</f>
        <v>1.1362442493053226</v>
      </c>
    </row>
    <row r="441" spans="1:11" x14ac:dyDescent="0.35">
      <c r="A441" s="5">
        <v>12409</v>
      </c>
      <c r="C441" s="13" t="s">
        <v>172</v>
      </c>
      <c r="D441" t="s">
        <v>15</v>
      </c>
      <c r="E441">
        <v>17.8</v>
      </c>
      <c r="F441">
        <v>120</v>
      </c>
      <c r="G441">
        <v>12.7</v>
      </c>
      <c r="H441">
        <f>Table1[[#This Row],[Total electrode weight (mg)]] - IF(ROW()&lt;40, Constants!$B$2 * PI()*(Table1[[#This Row],[Electrode Diameter(mm)]]/(10*2))^2, Constants!$B$4 * PI()*(Table1[[#This Row],[Electrode Diameter(mm)]]/(10*2))^2)</f>
        <v>13.745073398522276</v>
      </c>
      <c r="I441" s="12">
        <f t="shared" si="6"/>
        <v>12.782918260625717</v>
      </c>
      <c r="J441">
        <f>Table1[[#This Row],[Coating weight (mg)]]/Constants!$C$2</f>
        <v>10.850499718696696</v>
      </c>
      <c r="K441">
        <f>(Table1[[#This Row],[Coating weight (mg)]]/1000)/(((Table1[[#This Row],[Electrode Thickness(µm)]]-Constants!$E$4)*10^-4)*Constants!$C$4)</f>
        <v>1.0046758998793235</v>
      </c>
    </row>
    <row r="442" spans="1:11" x14ac:dyDescent="0.35">
      <c r="A442" s="5">
        <v>12410</v>
      </c>
      <c r="C442" s="13" t="s">
        <v>172</v>
      </c>
      <c r="D442" t="s">
        <v>15</v>
      </c>
      <c r="E442">
        <v>20</v>
      </c>
      <c r="F442">
        <v>120</v>
      </c>
      <c r="G442">
        <v>12.7</v>
      </c>
      <c r="H442">
        <f>Table1[[#This Row],[Total electrode weight (mg)]] - IF(ROW()&lt;40, Constants!$B$2 * PI()*(Table1[[#This Row],[Electrode Diameter(mm)]]/(10*2))^2, Constants!$B$4 * PI()*(Table1[[#This Row],[Electrode Diameter(mm)]]/(10*2))^2)</f>
        <v>15.945073398522275</v>
      </c>
      <c r="I442" s="12">
        <f t="shared" si="6"/>
        <v>14.828918260625716</v>
      </c>
      <c r="J442">
        <f>Table1[[#This Row],[Coating weight (mg)]]/Constants!$C$2</f>
        <v>12.587201931119882</v>
      </c>
      <c r="K442">
        <f>(Table1[[#This Row],[Coating weight (mg)]]/1000)/(((Table1[[#This Row],[Electrode Thickness(µm)]]-Constants!$E$4)*10^-4)*Constants!$C$4)</f>
        <v>1.1654816602888778</v>
      </c>
    </row>
    <row r="443" spans="1:11" x14ac:dyDescent="0.35">
      <c r="A443" s="5">
        <v>12411</v>
      </c>
      <c r="C443" s="13" t="s">
        <v>172</v>
      </c>
      <c r="D443" t="s">
        <v>15</v>
      </c>
      <c r="E443">
        <v>19.600000000000001</v>
      </c>
      <c r="F443">
        <v>120</v>
      </c>
      <c r="G443">
        <v>12.7</v>
      </c>
      <c r="H443">
        <f>Table1[[#This Row],[Total electrode weight (mg)]] - IF(ROW()&lt;40, Constants!$B$2 * PI()*(Table1[[#This Row],[Electrode Diameter(mm)]]/(10*2))^2, Constants!$B$4 * PI()*(Table1[[#This Row],[Electrode Diameter(mm)]]/(10*2))^2)</f>
        <v>15.545073398522277</v>
      </c>
      <c r="I443" s="12">
        <f t="shared" si="6"/>
        <v>14.456918260625718</v>
      </c>
      <c r="J443">
        <f>Table1[[#This Row],[Coating weight (mg)]]/Constants!$C$2</f>
        <v>12.271437892497486</v>
      </c>
      <c r="K443">
        <f>(Table1[[#This Row],[Coating weight (mg)]]/1000)/(((Table1[[#This Row],[Electrode Thickness(µm)]]-Constants!$E$4)*10^-4)*Constants!$C$4)</f>
        <v>1.1362442493053226</v>
      </c>
    </row>
    <row r="444" spans="1:11" x14ac:dyDescent="0.35">
      <c r="A444" s="5">
        <v>12412</v>
      </c>
      <c r="C444" s="13" t="s">
        <v>172</v>
      </c>
      <c r="D444" t="s">
        <v>15</v>
      </c>
      <c r="E444">
        <v>16.8</v>
      </c>
      <c r="F444">
        <v>120</v>
      </c>
      <c r="G444">
        <v>12.7</v>
      </c>
      <c r="H444">
        <f>Table1[[#This Row],[Total electrode weight (mg)]] - IF(ROW()&lt;40, Constants!$B$2 * PI()*(Table1[[#This Row],[Electrode Diameter(mm)]]/(10*2))^2, Constants!$B$4 * PI()*(Table1[[#This Row],[Electrode Diameter(mm)]]/(10*2))^2)</f>
        <v>12.745073398522276</v>
      </c>
      <c r="I444" s="12">
        <f t="shared" si="6"/>
        <v>11.852918260625717</v>
      </c>
      <c r="J444">
        <f>Table1[[#This Row],[Coating weight (mg)]]/Constants!$C$2</f>
        <v>10.061089622140701</v>
      </c>
      <c r="K444">
        <f>(Table1[[#This Row],[Coating weight (mg)]]/1000)/(((Table1[[#This Row],[Electrode Thickness(µm)]]-Constants!$E$4)*10^-4)*Constants!$C$4)</f>
        <v>0.93158237242043529</v>
      </c>
    </row>
    <row r="445" spans="1:11" x14ac:dyDescent="0.35">
      <c r="A445" s="5">
        <v>12413</v>
      </c>
      <c r="C445" s="13" t="s">
        <v>173</v>
      </c>
      <c r="D445" t="s">
        <v>15</v>
      </c>
      <c r="E445">
        <v>19</v>
      </c>
      <c r="F445">
        <v>90</v>
      </c>
      <c r="G445">
        <v>12.7</v>
      </c>
      <c r="H445">
        <f>Table1[[#This Row],[Total electrode weight (mg)]] - IF(ROW()&lt;40, Constants!$B$2 * PI()*(Table1[[#This Row],[Electrode Diameter(mm)]]/(10*2))^2, Constants!$B$4 * PI()*(Table1[[#This Row],[Electrode Diameter(mm)]]/(10*2))^2)</f>
        <v>14.945073398522275</v>
      </c>
      <c r="I445" s="12">
        <f t="shared" si="6"/>
        <v>13.898918260625717</v>
      </c>
      <c r="J445">
        <f>Table1[[#This Row],[Coating weight (mg)]]/Constants!$C$2</f>
        <v>11.797791834563888</v>
      </c>
      <c r="K445">
        <f>(Table1[[#This Row],[Coating weight (mg)]]/1000)/(((Table1[[#This Row],[Electrode Thickness(µm)]]-Constants!$E$4)*10^-4)*Constants!$C$4)</f>
        <v>1.5125374146876778</v>
      </c>
    </row>
    <row r="446" spans="1:11" x14ac:dyDescent="0.35">
      <c r="A446" s="5">
        <v>12414</v>
      </c>
      <c r="C446" s="13" t="s">
        <v>173</v>
      </c>
      <c r="D446" t="s">
        <v>15</v>
      </c>
      <c r="E446">
        <v>21.1</v>
      </c>
      <c r="F446">
        <v>90</v>
      </c>
      <c r="G446">
        <v>12.7</v>
      </c>
      <c r="H446">
        <f>Table1[[#This Row],[Total electrode weight (mg)]] - IF(ROW()&lt;40, Constants!$B$2 * PI()*(Table1[[#This Row],[Electrode Diameter(mm)]]/(10*2))^2, Constants!$B$4 * PI()*(Table1[[#This Row],[Electrode Diameter(mm)]]/(10*2))^2)</f>
        <v>17.045073398522277</v>
      </c>
      <c r="I446" s="12">
        <f t="shared" si="6"/>
        <v>15.851918260625718</v>
      </c>
      <c r="J446">
        <f>Table1[[#This Row],[Coating weight (mg)]]/Constants!$C$2</f>
        <v>13.455553037331477</v>
      </c>
      <c r="K446">
        <f>(Table1[[#This Row],[Coating weight (mg)]]/1000)/(((Table1[[#This Row],[Electrode Thickness(µm)]]-Constants!$E$4)*10^-4)*Constants!$C$4)</f>
        <v>1.7250709022219843</v>
      </c>
    </row>
    <row r="447" spans="1:11" x14ac:dyDescent="0.35">
      <c r="A447" s="5">
        <v>12415</v>
      </c>
      <c r="C447" s="13" t="s">
        <v>173</v>
      </c>
      <c r="D447" t="s">
        <v>15</v>
      </c>
      <c r="E447">
        <v>20.7</v>
      </c>
      <c r="F447">
        <v>90</v>
      </c>
      <c r="G447">
        <v>12.7</v>
      </c>
      <c r="H447">
        <f>Table1[[#This Row],[Total electrode weight (mg)]] - IF(ROW()&lt;40, Constants!$B$2 * PI()*(Table1[[#This Row],[Electrode Diameter(mm)]]/(10*2))^2, Constants!$B$4 * PI()*(Table1[[#This Row],[Electrode Diameter(mm)]]/(10*2))^2)</f>
        <v>16.645073398522275</v>
      </c>
      <c r="I447" s="12">
        <f t="shared" si="6"/>
        <v>15.479918260625716</v>
      </c>
      <c r="J447">
        <f>Table1[[#This Row],[Coating weight (mg)]]/Constants!$C$2</f>
        <v>13.139788998709077</v>
      </c>
      <c r="K447">
        <f>(Table1[[#This Row],[Coating weight (mg)]]/1000)/(((Table1[[#This Row],[Electrode Thickness(µm)]]-Constants!$E$4)*10^-4)*Constants!$C$4)</f>
        <v>1.6845883331678302</v>
      </c>
    </row>
    <row r="448" spans="1:11" x14ac:dyDescent="0.35">
      <c r="A448" s="5">
        <v>12416</v>
      </c>
      <c r="C448" s="13" t="s">
        <v>173</v>
      </c>
      <c r="D448" t="s">
        <v>15</v>
      </c>
      <c r="E448">
        <v>19.3</v>
      </c>
      <c r="F448">
        <v>90</v>
      </c>
      <c r="G448">
        <v>12.7</v>
      </c>
      <c r="H448">
        <f>Table1[[#This Row],[Total electrode weight (mg)]] - IF(ROW()&lt;40, Constants!$B$2 * PI()*(Table1[[#This Row],[Electrode Diameter(mm)]]/(10*2))^2, Constants!$B$4 * PI()*(Table1[[#This Row],[Electrode Diameter(mm)]]/(10*2))^2)</f>
        <v>15.245073398522276</v>
      </c>
      <c r="I448" s="12">
        <f t="shared" si="6"/>
        <v>14.177918260625718</v>
      </c>
      <c r="J448">
        <f>Table1[[#This Row],[Coating weight (mg)]]/Constants!$C$2</f>
        <v>12.034614863530686</v>
      </c>
      <c r="K448">
        <f>(Table1[[#This Row],[Coating weight (mg)]]/1000)/(((Table1[[#This Row],[Electrode Thickness(µm)]]-Constants!$E$4)*10^-4)*Constants!$C$4)</f>
        <v>1.542899341478293</v>
      </c>
    </row>
    <row r="449" spans="1:11" x14ac:dyDescent="0.35">
      <c r="A449" s="5">
        <v>12417</v>
      </c>
      <c r="C449" s="13" t="s">
        <v>173</v>
      </c>
      <c r="D449" t="s">
        <v>15</v>
      </c>
      <c r="E449">
        <v>20.7</v>
      </c>
      <c r="F449">
        <v>90</v>
      </c>
      <c r="G449">
        <v>12.7</v>
      </c>
      <c r="H449">
        <f>Table1[[#This Row],[Total electrode weight (mg)]] - IF(ROW()&lt;40, Constants!$B$2 * PI()*(Table1[[#This Row],[Electrode Diameter(mm)]]/(10*2))^2, Constants!$B$4 * PI()*(Table1[[#This Row],[Electrode Diameter(mm)]]/(10*2))^2)</f>
        <v>16.645073398522275</v>
      </c>
      <c r="I449" s="12">
        <f t="shared" si="6"/>
        <v>15.479918260625716</v>
      </c>
      <c r="J449">
        <f>Table1[[#This Row],[Coating weight (mg)]]/Constants!$C$2</f>
        <v>13.139788998709077</v>
      </c>
      <c r="K449">
        <f>(Table1[[#This Row],[Coating weight (mg)]]/1000)/(((Table1[[#This Row],[Electrode Thickness(µm)]]-Constants!$E$4)*10^-4)*Constants!$C$4)</f>
        <v>1.6845883331678302</v>
      </c>
    </row>
    <row r="450" spans="1:11" x14ac:dyDescent="0.35">
      <c r="A450" s="5">
        <v>12418</v>
      </c>
      <c r="C450" s="13" t="s">
        <v>173</v>
      </c>
      <c r="D450" t="s">
        <v>15</v>
      </c>
      <c r="E450">
        <v>17.600000000000001</v>
      </c>
      <c r="F450">
        <v>90</v>
      </c>
      <c r="G450">
        <v>12.7</v>
      </c>
      <c r="H450">
        <f>Table1[[#This Row],[Total electrode weight (mg)]] - IF(ROW()&lt;40, Constants!$B$2 * PI()*(Table1[[#This Row],[Electrode Diameter(mm)]]/(10*2))^2, Constants!$B$4 * PI()*(Table1[[#This Row],[Electrode Diameter(mm)]]/(10*2))^2)</f>
        <v>13.545073398522277</v>
      </c>
      <c r="I450" s="12">
        <f t="shared" si="6"/>
        <v>12.596918260625719</v>
      </c>
      <c r="J450">
        <f>Table1[[#This Row],[Coating weight (mg)]]/Constants!$C$2</f>
        <v>10.692617699385497</v>
      </c>
      <c r="K450">
        <f>(Table1[[#This Row],[Coating weight (mg)]]/1000)/(((Table1[[#This Row],[Electrode Thickness(µm)]]-Constants!$E$4)*10^-4)*Constants!$C$4)</f>
        <v>1.3708484229981406</v>
      </c>
    </row>
    <row r="451" spans="1:11" x14ac:dyDescent="0.35">
      <c r="A451" s="5">
        <v>12419</v>
      </c>
      <c r="C451" s="13" t="s">
        <v>174</v>
      </c>
      <c r="D451" t="s">
        <v>15</v>
      </c>
      <c r="E451">
        <v>18.7</v>
      </c>
      <c r="F451">
        <v>83</v>
      </c>
      <c r="G451">
        <v>12.7</v>
      </c>
      <c r="H451">
        <f>Table1[[#This Row],[Total electrode weight (mg)]] - IF(ROW()&lt;40, Constants!$B$2 * PI()*(Table1[[#This Row],[Electrode Diameter(mm)]]/(10*2))^2, Constants!$B$4 * PI()*(Table1[[#This Row],[Electrode Diameter(mm)]]/(10*2))^2)</f>
        <v>14.645073398522275</v>
      </c>
      <c r="I451" s="12">
        <f t="shared" ref="I451:I514" si="7">IF(D451="", "", IF(D451="RnD", H451*0.85, IF(D451="Production", H451*0.93, "Invalid")))</f>
        <v>13.619918260625717</v>
      </c>
      <c r="J451">
        <f>Table1[[#This Row],[Coating weight (mg)]]/Constants!$C$2</f>
        <v>11.560968805597089</v>
      </c>
      <c r="K451">
        <f>(Table1[[#This Row],[Coating weight (mg)]]/1000)/(((Table1[[#This Row],[Electrode Thickness(µm)]]-Constants!$E$4)*10^-4)*Constants!$C$4)</f>
        <v>1.6283054655770546</v>
      </c>
    </row>
    <row r="452" spans="1:11" x14ac:dyDescent="0.35">
      <c r="A452" s="5">
        <v>12420</v>
      </c>
      <c r="C452" s="13" t="s">
        <v>174</v>
      </c>
      <c r="D452" t="s">
        <v>15</v>
      </c>
      <c r="E452">
        <v>17.7</v>
      </c>
      <c r="F452">
        <v>83</v>
      </c>
      <c r="G452">
        <v>12.7</v>
      </c>
      <c r="H452">
        <f>Table1[[#This Row],[Total electrode weight (mg)]] - IF(ROW()&lt;40, Constants!$B$2 * PI()*(Table1[[#This Row],[Electrode Diameter(mm)]]/(10*2))^2, Constants!$B$4 * PI()*(Table1[[#This Row],[Electrode Diameter(mm)]]/(10*2))^2)</f>
        <v>13.645073398522275</v>
      </c>
      <c r="I452" s="12">
        <f t="shared" si="7"/>
        <v>12.689918260625717</v>
      </c>
      <c r="J452">
        <f>Table1[[#This Row],[Coating weight (mg)]]/Constants!$C$2</f>
        <v>10.771558709041095</v>
      </c>
      <c r="K452">
        <f>(Table1[[#This Row],[Coating weight (mg)]]/1000)/(((Table1[[#This Row],[Electrode Thickness(µm)]]-Constants!$E$4)*10^-4)*Constants!$C$4)</f>
        <v>1.5171209449353655</v>
      </c>
    </row>
    <row r="453" spans="1:11" x14ac:dyDescent="0.35">
      <c r="A453" s="5">
        <v>12421</v>
      </c>
      <c r="C453" s="13" t="s">
        <v>174</v>
      </c>
      <c r="D453" t="s">
        <v>15</v>
      </c>
      <c r="E453">
        <v>16.899999999999999</v>
      </c>
      <c r="F453">
        <v>83</v>
      </c>
      <c r="G453">
        <v>12.7</v>
      </c>
      <c r="H453">
        <f>Table1[[#This Row],[Total electrode weight (mg)]] - IF(ROW()&lt;40, Constants!$B$2 * PI()*(Table1[[#This Row],[Electrode Diameter(mm)]]/(10*2))^2, Constants!$B$4 * PI()*(Table1[[#This Row],[Electrode Diameter(mm)]]/(10*2))^2)</f>
        <v>12.845073398522274</v>
      </c>
      <c r="I453" s="12">
        <f t="shared" si="7"/>
        <v>11.945918260625715</v>
      </c>
      <c r="J453">
        <f>Table1[[#This Row],[Coating weight (mg)]]/Constants!$C$2</f>
        <v>10.1400306317963</v>
      </c>
      <c r="K453">
        <f>(Table1[[#This Row],[Coating weight (mg)]]/1000)/(((Table1[[#This Row],[Electrode Thickness(µm)]]-Constants!$E$4)*10^-4)*Constants!$C$4)</f>
        <v>1.4281733284220139</v>
      </c>
    </row>
    <row r="454" spans="1:11" x14ac:dyDescent="0.35">
      <c r="A454" s="5">
        <v>12422</v>
      </c>
      <c r="C454" s="13" t="s">
        <v>174</v>
      </c>
      <c r="D454" t="s">
        <v>15</v>
      </c>
      <c r="E454">
        <v>20.3</v>
      </c>
      <c r="F454">
        <v>83</v>
      </c>
      <c r="G454">
        <v>12.7</v>
      </c>
      <c r="H454">
        <f>Table1[[#This Row],[Total electrode weight (mg)]] - IF(ROW()&lt;40, Constants!$B$2 * PI()*(Table1[[#This Row],[Electrode Diameter(mm)]]/(10*2))^2, Constants!$B$4 * PI()*(Table1[[#This Row],[Electrode Diameter(mm)]]/(10*2))^2)</f>
        <v>16.245073398522276</v>
      </c>
      <c r="I454" s="12">
        <f t="shared" si="7"/>
        <v>15.107918260625718</v>
      </c>
      <c r="J454">
        <f>Table1[[#This Row],[Coating weight (mg)]]/Constants!$C$2</f>
        <v>12.82402496008668</v>
      </c>
      <c r="K454">
        <f>(Table1[[#This Row],[Coating weight (mg)]]/1000)/(((Table1[[#This Row],[Electrode Thickness(µm)]]-Constants!$E$4)*10^-4)*Constants!$C$4)</f>
        <v>1.8062006986037578</v>
      </c>
    </row>
    <row r="455" spans="1:11" x14ac:dyDescent="0.35">
      <c r="A455" s="5">
        <v>12423</v>
      </c>
      <c r="C455" s="13" t="s">
        <v>174</v>
      </c>
      <c r="D455" t="s">
        <v>15</v>
      </c>
      <c r="E455">
        <v>18</v>
      </c>
      <c r="F455">
        <v>83</v>
      </c>
      <c r="G455">
        <v>12.7</v>
      </c>
      <c r="H455">
        <f>Table1[[#This Row],[Total electrode weight (mg)]] - IF(ROW()&lt;40, Constants!$B$2 * PI()*(Table1[[#This Row],[Electrode Diameter(mm)]]/(10*2))^2, Constants!$B$4 * PI()*(Table1[[#This Row],[Electrode Diameter(mm)]]/(10*2))^2)</f>
        <v>13.945073398522275</v>
      </c>
      <c r="I455" s="12">
        <f t="shared" si="7"/>
        <v>12.968918260625717</v>
      </c>
      <c r="J455">
        <f>Table1[[#This Row],[Coating weight (mg)]]/Constants!$C$2</f>
        <v>11.008381738007893</v>
      </c>
      <c r="K455">
        <f>(Table1[[#This Row],[Coating weight (mg)]]/1000)/(((Table1[[#This Row],[Electrode Thickness(µm)]]-Constants!$E$4)*10^-4)*Constants!$C$4)</f>
        <v>1.5504763011278722</v>
      </c>
    </row>
    <row r="456" spans="1:11" x14ac:dyDescent="0.35">
      <c r="A456" s="5">
        <v>12424</v>
      </c>
      <c r="C456" s="13" t="s">
        <v>174</v>
      </c>
      <c r="D456" t="s">
        <v>15</v>
      </c>
      <c r="E456">
        <v>21.3</v>
      </c>
      <c r="F456">
        <v>83</v>
      </c>
      <c r="G456">
        <v>12.7</v>
      </c>
      <c r="H456">
        <f>Table1[[#This Row],[Total electrode weight (mg)]] - IF(ROW()&lt;40, Constants!$B$2 * PI()*(Table1[[#This Row],[Electrode Diameter(mm)]]/(10*2))^2, Constants!$B$4 * PI()*(Table1[[#This Row],[Electrode Diameter(mm)]]/(10*2))^2)</f>
        <v>17.245073398522276</v>
      </c>
      <c r="I456" s="12">
        <f t="shared" si="7"/>
        <v>16.037918260625716</v>
      </c>
      <c r="J456">
        <f>Table1[[#This Row],[Coating weight (mg)]]/Constants!$C$2</f>
        <v>13.613435056642675</v>
      </c>
      <c r="K456">
        <f>(Table1[[#This Row],[Coating weight (mg)]]/1000)/(((Table1[[#This Row],[Electrode Thickness(µm)]]-Constants!$E$4)*10^-4)*Constants!$C$4)</f>
        <v>1.9173852192454472</v>
      </c>
    </row>
    <row r="457" spans="1:11" x14ac:dyDescent="0.35">
      <c r="A457" s="28">
        <v>12425</v>
      </c>
      <c r="C457" s="13" t="s">
        <v>171</v>
      </c>
      <c r="D457" t="s">
        <v>15</v>
      </c>
      <c r="E457">
        <v>23.9</v>
      </c>
      <c r="G457">
        <v>12.7</v>
      </c>
      <c r="H457">
        <f>Table1[[#This Row],[Total electrode weight (mg)]] - IF(ROW()&lt;40, Constants!$B$2 * PI()*(Table1[[#This Row],[Electrode Diameter(mm)]]/(10*2))^2, Constants!$B$4 * PI()*(Table1[[#This Row],[Electrode Diameter(mm)]]/(10*2))^2)</f>
        <v>19.845073398522274</v>
      </c>
      <c r="I457" s="12">
        <f t="shared" si="7"/>
        <v>18.455918260625715</v>
      </c>
      <c r="J457">
        <f>Table1[[#This Row],[Coating weight (mg)]]/Constants!$C$2</f>
        <v>15.665901307688257</v>
      </c>
      <c r="K457">
        <f>(Table1[[#This Row],[Coating weight (mg)]]/1000)/(((Table1[[#This Row],[Electrode Thickness(µm)]]-Constants!$E$4)*10^-4)*Constants!$C$4)</f>
        <v>-13.05491775640688</v>
      </c>
    </row>
    <row r="458" spans="1:11" x14ac:dyDescent="0.35">
      <c r="A458" s="28">
        <v>12426</v>
      </c>
      <c r="C458" s="13" t="s">
        <v>171</v>
      </c>
      <c r="D458" t="s">
        <v>15</v>
      </c>
      <c r="E458">
        <v>24.1</v>
      </c>
      <c r="G458">
        <v>12.7</v>
      </c>
      <c r="H458">
        <f>Table1[[#This Row],[Total electrode weight (mg)]] - IF(ROW()&lt;40, Constants!$B$2 * PI()*(Table1[[#This Row],[Electrode Diameter(mm)]]/(10*2))^2, Constants!$B$4 * PI()*(Table1[[#This Row],[Electrode Diameter(mm)]]/(10*2))^2)</f>
        <v>20.045073398522277</v>
      </c>
      <c r="I458" s="12">
        <f t="shared" si="7"/>
        <v>18.641918260625719</v>
      </c>
      <c r="J458">
        <f>Table1[[#This Row],[Coating weight (mg)]]/Constants!$C$2</f>
        <v>15.823783326999459</v>
      </c>
      <c r="K458">
        <f>(Table1[[#This Row],[Coating weight (mg)]]/1000)/(((Table1[[#This Row],[Electrode Thickness(µm)]]-Constants!$E$4)*10^-4)*Constants!$C$4)</f>
        <v>-13.186486105832881</v>
      </c>
    </row>
    <row r="459" spans="1:11" x14ac:dyDescent="0.35">
      <c r="A459" s="28">
        <v>12427</v>
      </c>
      <c r="C459" s="13" t="s">
        <v>171</v>
      </c>
      <c r="D459" t="s">
        <v>15</v>
      </c>
      <c r="E459">
        <v>21.7</v>
      </c>
      <c r="G459">
        <v>12.7</v>
      </c>
      <c r="H459">
        <f>Table1[[#This Row],[Total electrode weight (mg)]] - IF(ROW()&lt;40, Constants!$B$2 * PI()*(Table1[[#This Row],[Electrode Diameter(mm)]]/(10*2))^2, Constants!$B$4 * PI()*(Table1[[#This Row],[Electrode Diameter(mm)]]/(10*2))^2)</f>
        <v>17.645073398522275</v>
      </c>
      <c r="I459" s="12">
        <f t="shared" si="7"/>
        <v>16.409918260625716</v>
      </c>
      <c r="J459">
        <f>Table1[[#This Row],[Coating weight (mg)]]/Constants!$C$2</f>
        <v>13.929199095265071</v>
      </c>
      <c r="K459">
        <f>(Table1[[#This Row],[Coating weight (mg)]]/1000)/(((Table1[[#This Row],[Electrode Thickness(µm)]]-Constants!$E$4)*10^-4)*Constants!$C$4)</f>
        <v>-11.607665912720892</v>
      </c>
    </row>
    <row r="460" spans="1:11" x14ac:dyDescent="0.35">
      <c r="A460" s="28">
        <v>12428</v>
      </c>
      <c r="C460" s="13" t="s">
        <v>171</v>
      </c>
      <c r="D460" t="s">
        <v>15</v>
      </c>
      <c r="E460">
        <v>23.6</v>
      </c>
      <c r="G460">
        <v>12.7</v>
      </c>
      <c r="H460">
        <f>Table1[[#This Row],[Total electrode weight (mg)]] - IF(ROW()&lt;40, Constants!$B$2 * PI()*(Table1[[#This Row],[Electrode Diameter(mm)]]/(10*2))^2, Constants!$B$4 * PI()*(Table1[[#This Row],[Electrode Diameter(mm)]]/(10*2))^2)</f>
        <v>19.545073398522277</v>
      </c>
      <c r="I460" s="12">
        <f t="shared" si="7"/>
        <v>18.176918260625719</v>
      </c>
      <c r="J460">
        <f>Table1[[#This Row],[Coating weight (mg)]]/Constants!$C$2</f>
        <v>15.429078278721462</v>
      </c>
      <c r="K460">
        <f>(Table1[[#This Row],[Coating weight (mg)]]/1000)/(((Table1[[#This Row],[Electrode Thickness(µm)]]-Constants!$E$4)*10^-4)*Constants!$C$4)</f>
        <v>-12.857565232267884</v>
      </c>
    </row>
    <row r="461" spans="1:11" x14ac:dyDescent="0.35">
      <c r="A461" s="28">
        <v>12429</v>
      </c>
      <c r="C461" s="13" t="s">
        <v>171</v>
      </c>
      <c r="D461" t="s">
        <v>15</v>
      </c>
      <c r="E461">
        <v>23.6</v>
      </c>
      <c r="G461">
        <v>12.7</v>
      </c>
      <c r="H461">
        <f>Table1[[#This Row],[Total electrode weight (mg)]] - IF(ROW()&lt;40, Constants!$B$2 * PI()*(Table1[[#This Row],[Electrode Diameter(mm)]]/(10*2))^2, Constants!$B$4 * PI()*(Table1[[#This Row],[Electrode Diameter(mm)]]/(10*2))^2)</f>
        <v>19.545073398522277</v>
      </c>
      <c r="I461" s="12">
        <f t="shared" si="7"/>
        <v>18.176918260625719</v>
      </c>
      <c r="J461">
        <f>Table1[[#This Row],[Coating weight (mg)]]/Constants!$C$2</f>
        <v>15.429078278721462</v>
      </c>
      <c r="K461">
        <f>(Table1[[#This Row],[Coating weight (mg)]]/1000)/(((Table1[[#This Row],[Electrode Thickness(µm)]]-Constants!$E$4)*10^-4)*Constants!$C$4)</f>
        <v>-12.857565232267884</v>
      </c>
    </row>
    <row r="462" spans="1:11" x14ac:dyDescent="0.35">
      <c r="A462" s="28">
        <v>12430</v>
      </c>
      <c r="C462" s="13" t="s">
        <v>175</v>
      </c>
      <c r="D462" t="s">
        <v>15</v>
      </c>
      <c r="E462">
        <v>16.3</v>
      </c>
      <c r="G462">
        <v>12.7</v>
      </c>
      <c r="H462">
        <f>Table1[[#This Row],[Total electrode weight (mg)]] - IF(ROW()&lt;40, Constants!$B$2 * PI()*(Table1[[#This Row],[Electrode Diameter(mm)]]/(10*2))^2, Constants!$B$4 * PI()*(Table1[[#This Row],[Electrode Diameter(mm)]]/(10*2))^2)</f>
        <v>12.245073398522276</v>
      </c>
      <c r="I462" s="12">
        <f t="shared" si="7"/>
        <v>11.387918260625717</v>
      </c>
      <c r="J462">
        <f>Table1[[#This Row],[Coating weight (mg)]]/Constants!$C$2</f>
        <v>9.6663845738627039</v>
      </c>
      <c r="K462">
        <f>(Table1[[#This Row],[Coating weight (mg)]]/1000)/(((Table1[[#This Row],[Electrode Thickness(µm)]]-Constants!$E$4)*10^-4)*Constants!$C$4)</f>
        <v>-8.0553204782189187</v>
      </c>
    </row>
    <row r="463" spans="1:11" x14ac:dyDescent="0.35">
      <c r="A463" s="28">
        <v>12431</v>
      </c>
      <c r="C463" s="13" t="s">
        <v>175</v>
      </c>
      <c r="D463" t="s">
        <v>15</v>
      </c>
      <c r="E463">
        <v>16</v>
      </c>
      <c r="G463">
        <v>12.7</v>
      </c>
      <c r="H463">
        <f>Table1[[#This Row],[Total electrode weight (mg)]] - IF(ROW()&lt;40, Constants!$B$2 * PI()*(Table1[[#This Row],[Electrode Diameter(mm)]]/(10*2))^2, Constants!$B$4 * PI()*(Table1[[#This Row],[Electrode Diameter(mm)]]/(10*2))^2)</f>
        <v>11.945073398522275</v>
      </c>
      <c r="I463" s="12">
        <f t="shared" si="7"/>
        <v>11.108918260625718</v>
      </c>
      <c r="J463">
        <f>Table1[[#This Row],[Coating weight (mg)]]/Constants!$C$2</f>
        <v>9.4295615448959058</v>
      </c>
      <c r="K463">
        <f>(Table1[[#This Row],[Coating weight (mg)]]/1000)/(((Table1[[#This Row],[Electrode Thickness(µm)]]-Constants!$E$4)*10^-4)*Constants!$C$4)</f>
        <v>-7.8579679540799194</v>
      </c>
    </row>
    <row r="464" spans="1:11" x14ac:dyDescent="0.35">
      <c r="A464" s="28">
        <v>12432</v>
      </c>
      <c r="C464" s="13" t="s">
        <v>175</v>
      </c>
      <c r="D464" t="s">
        <v>15</v>
      </c>
      <c r="E464">
        <v>16.2</v>
      </c>
      <c r="G464">
        <v>12.7</v>
      </c>
      <c r="H464">
        <f>Table1[[#This Row],[Total electrode weight (mg)]] - IF(ROW()&lt;40, Constants!$B$2 * PI()*(Table1[[#This Row],[Electrode Diameter(mm)]]/(10*2))^2, Constants!$B$4 * PI()*(Table1[[#This Row],[Electrode Diameter(mm)]]/(10*2))^2)</f>
        <v>12.145073398522275</v>
      </c>
      <c r="I464" s="12">
        <f t="shared" si="7"/>
        <v>11.294918260625716</v>
      </c>
      <c r="J464">
        <f>Table1[[#This Row],[Coating weight (mg)]]/Constants!$C$2</f>
        <v>9.5874435642071045</v>
      </c>
      <c r="K464">
        <f>(Table1[[#This Row],[Coating weight (mg)]]/1000)/(((Table1[[#This Row],[Electrode Thickness(µm)]]-Constants!$E$4)*10^-4)*Constants!$C$4)</f>
        <v>-7.9895363035059193</v>
      </c>
    </row>
    <row r="465" spans="1:11" x14ac:dyDescent="0.35">
      <c r="A465" s="28">
        <v>12433</v>
      </c>
      <c r="C465" s="13" t="s">
        <v>175</v>
      </c>
      <c r="D465" t="s">
        <v>15</v>
      </c>
      <c r="E465">
        <v>15.9</v>
      </c>
      <c r="G465">
        <v>12.7</v>
      </c>
      <c r="H465">
        <f>Table1[[#This Row],[Total electrode weight (mg)]] - IF(ROW()&lt;40, Constants!$B$2 * PI()*(Table1[[#This Row],[Electrode Diameter(mm)]]/(10*2))^2, Constants!$B$4 * PI()*(Table1[[#This Row],[Electrode Diameter(mm)]]/(10*2))^2)</f>
        <v>11.845073398522274</v>
      </c>
      <c r="I465" s="12">
        <f t="shared" si="7"/>
        <v>11.015918260625716</v>
      </c>
      <c r="J465">
        <f>Table1[[#This Row],[Coating weight (mg)]]/Constants!$C$2</f>
        <v>9.3506205352403047</v>
      </c>
      <c r="K465">
        <f>(Table1[[#This Row],[Coating weight (mg)]]/1000)/(((Table1[[#This Row],[Electrode Thickness(µm)]]-Constants!$E$4)*10^-4)*Constants!$C$4)</f>
        <v>-7.79218377936692</v>
      </c>
    </row>
    <row r="466" spans="1:11" x14ac:dyDescent="0.35">
      <c r="A466" s="28">
        <v>12434</v>
      </c>
      <c r="C466" s="13" t="s">
        <v>175</v>
      </c>
      <c r="D466" t="s">
        <v>15</v>
      </c>
      <c r="E466">
        <v>15.8</v>
      </c>
      <c r="G466">
        <v>12.7</v>
      </c>
      <c r="H466">
        <f>Table1[[#This Row],[Total electrode weight (mg)]] - IF(ROW()&lt;40, Constants!$B$2 * PI()*(Table1[[#This Row],[Electrode Diameter(mm)]]/(10*2))^2, Constants!$B$4 * PI()*(Table1[[#This Row],[Electrode Diameter(mm)]]/(10*2))^2)</f>
        <v>11.745073398522276</v>
      </c>
      <c r="I466" s="12">
        <f t="shared" si="7"/>
        <v>10.922918260625718</v>
      </c>
      <c r="J466">
        <f>Table1[[#This Row],[Coating weight (mg)]]/Constants!$C$2</f>
        <v>9.2716795255847071</v>
      </c>
      <c r="K466">
        <f>(Table1[[#This Row],[Coating weight (mg)]]/1000)/(((Table1[[#This Row],[Electrode Thickness(µm)]]-Constants!$E$4)*10^-4)*Constants!$C$4)</f>
        <v>-7.7263996046539214</v>
      </c>
    </row>
    <row r="467" spans="1:11" x14ac:dyDescent="0.35">
      <c r="A467" s="28">
        <v>12435</v>
      </c>
      <c r="C467" s="13" t="s">
        <v>176</v>
      </c>
      <c r="D467" t="s">
        <v>15</v>
      </c>
      <c r="E467">
        <v>15.9</v>
      </c>
      <c r="G467">
        <v>12.7</v>
      </c>
      <c r="H467">
        <f>Table1[[#This Row],[Total electrode weight (mg)]] - IF(ROW()&lt;40, Constants!$B$2 * PI()*(Table1[[#This Row],[Electrode Diameter(mm)]]/(10*2))^2, Constants!$B$4 * PI()*(Table1[[#This Row],[Electrode Diameter(mm)]]/(10*2))^2)</f>
        <v>11.845073398522274</v>
      </c>
      <c r="I467" s="12">
        <f t="shared" si="7"/>
        <v>11.015918260625716</v>
      </c>
      <c r="J467">
        <f>Table1[[#This Row],[Coating weight (mg)]]/Constants!$C$2</f>
        <v>9.3506205352403047</v>
      </c>
      <c r="K467">
        <f>(Table1[[#This Row],[Coating weight (mg)]]/1000)/(((Table1[[#This Row],[Electrode Thickness(µm)]]-Constants!$E$4)*10^-4)*Constants!$C$4)</f>
        <v>-7.79218377936692</v>
      </c>
    </row>
    <row r="468" spans="1:11" x14ac:dyDescent="0.35">
      <c r="A468" s="28">
        <v>12436</v>
      </c>
      <c r="C468" s="13" t="s">
        <v>176</v>
      </c>
      <c r="D468" t="s">
        <v>15</v>
      </c>
      <c r="E468">
        <v>15.8</v>
      </c>
      <c r="G468">
        <v>12.7</v>
      </c>
      <c r="H468">
        <f>Table1[[#This Row],[Total electrode weight (mg)]] - IF(ROW()&lt;40, Constants!$B$2 * PI()*(Table1[[#This Row],[Electrode Diameter(mm)]]/(10*2))^2, Constants!$B$4 * PI()*(Table1[[#This Row],[Electrode Diameter(mm)]]/(10*2))^2)</f>
        <v>11.745073398522276</v>
      </c>
      <c r="I468" s="12">
        <f t="shared" si="7"/>
        <v>10.922918260625718</v>
      </c>
      <c r="J468">
        <f>Table1[[#This Row],[Coating weight (mg)]]/Constants!$C$2</f>
        <v>9.2716795255847071</v>
      </c>
      <c r="K468">
        <f>(Table1[[#This Row],[Coating weight (mg)]]/1000)/(((Table1[[#This Row],[Electrode Thickness(µm)]]-Constants!$E$4)*10^-4)*Constants!$C$4)</f>
        <v>-7.7263996046539214</v>
      </c>
    </row>
    <row r="469" spans="1:11" x14ac:dyDescent="0.35">
      <c r="A469" s="28">
        <v>12437</v>
      </c>
      <c r="C469" s="13" t="s">
        <v>176</v>
      </c>
      <c r="D469" t="s">
        <v>15</v>
      </c>
      <c r="E469">
        <v>16.600000000000001</v>
      </c>
      <c r="G469">
        <v>12.7</v>
      </c>
      <c r="H469">
        <f>Table1[[#This Row],[Total electrode weight (mg)]] - IF(ROW()&lt;40, Constants!$B$2 * PI()*(Table1[[#This Row],[Electrode Diameter(mm)]]/(10*2))^2, Constants!$B$4 * PI()*(Table1[[#This Row],[Electrode Diameter(mm)]]/(10*2))^2)</f>
        <v>12.545073398522277</v>
      </c>
      <c r="I469" s="12">
        <f t="shared" si="7"/>
        <v>11.666918260625717</v>
      </c>
      <c r="J469">
        <f>Table1[[#This Row],[Coating weight (mg)]]/Constants!$C$2</f>
        <v>9.9032076028295037</v>
      </c>
      <c r="K469">
        <f>(Table1[[#This Row],[Coating weight (mg)]]/1000)/(((Table1[[#This Row],[Electrode Thickness(µm)]]-Constants!$E$4)*10^-4)*Constants!$C$4)</f>
        <v>-8.252673002357918</v>
      </c>
    </row>
    <row r="470" spans="1:11" x14ac:dyDescent="0.35">
      <c r="A470" s="28">
        <v>12438</v>
      </c>
      <c r="C470" s="13" t="s">
        <v>176</v>
      </c>
      <c r="D470" t="s">
        <v>15</v>
      </c>
      <c r="E470">
        <v>16.3</v>
      </c>
      <c r="G470">
        <v>12.7</v>
      </c>
      <c r="H470">
        <f>Table1[[#This Row],[Total electrode weight (mg)]] - IF(ROW()&lt;40, Constants!$B$2 * PI()*(Table1[[#This Row],[Electrode Diameter(mm)]]/(10*2))^2, Constants!$B$4 * PI()*(Table1[[#This Row],[Electrode Diameter(mm)]]/(10*2))^2)</f>
        <v>12.245073398522276</v>
      </c>
      <c r="I470" s="12">
        <f t="shared" si="7"/>
        <v>11.387918260625717</v>
      </c>
      <c r="J470">
        <f>Table1[[#This Row],[Coating weight (mg)]]/Constants!$C$2</f>
        <v>9.6663845738627039</v>
      </c>
      <c r="K470">
        <f>(Table1[[#This Row],[Coating weight (mg)]]/1000)/(((Table1[[#This Row],[Electrode Thickness(µm)]]-Constants!$E$4)*10^-4)*Constants!$C$4)</f>
        <v>-8.0553204782189187</v>
      </c>
    </row>
    <row r="471" spans="1:11" x14ac:dyDescent="0.35">
      <c r="A471" s="28">
        <v>12439</v>
      </c>
      <c r="C471" s="13" t="s">
        <v>176</v>
      </c>
      <c r="D471" t="s">
        <v>15</v>
      </c>
      <c r="E471">
        <v>16.3</v>
      </c>
      <c r="G471">
        <v>12.7</v>
      </c>
      <c r="H471">
        <f>Table1[[#This Row],[Total electrode weight (mg)]] - IF(ROW()&lt;40, Constants!$B$2 * PI()*(Table1[[#This Row],[Electrode Diameter(mm)]]/(10*2))^2, Constants!$B$4 * PI()*(Table1[[#This Row],[Electrode Diameter(mm)]]/(10*2))^2)</f>
        <v>12.245073398522276</v>
      </c>
      <c r="I471" s="12">
        <f t="shared" si="7"/>
        <v>11.387918260625717</v>
      </c>
      <c r="J471">
        <f>Table1[[#This Row],[Coating weight (mg)]]/Constants!$C$2</f>
        <v>9.6663845738627039</v>
      </c>
      <c r="K471">
        <f>(Table1[[#This Row],[Coating weight (mg)]]/1000)/(((Table1[[#This Row],[Electrode Thickness(µm)]]-Constants!$E$4)*10^-4)*Constants!$C$4)</f>
        <v>-8.0553204782189187</v>
      </c>
    </row>
    <row r="472" spans="1:11" x14ac:dyDescent="0.35">
      <c r="A472" s="5">
        <v>12440</v>
      </c>
      <c r="C472" s="13" t="s">
        <v>177</v>
      </c>
      <c r="D472" t="s">
        <v>15</v>
      </c>
      <c r="E472">
        <v>23.6</v>
      </c>
      <c r="F472">
        <v>200</v>
      </c>
      <c r="G472">
        <v>13</v>
      </c>
      <c r="H472">
        <f>Table1[[#This Row],[Total electrode weight (mg)]] - IF(ROW()&lt;40, Constants!$B$2 * PI()*(Table1[[#This Row],[Electrode Diameter(mm)]]/(10*2))^2, Constants!$B$4 * PI()*(Table1[[#This Row],[Electrode Diameter(mm)]]/(10*2))^2)</f>
        <v>19.351239409450457</v>
      </c>
      <c r="I472" s="12">
        <f t="shared" si="7"/>
        <v>17.996652650788928</v>
      </c>
      <c r="J472">
        <f>Table1[[#This Row],[Coating weight (mg)]]/Constants!$C$2</f>
        <v>15.276063770692444</v>
      </c>
      <c r="K472">
        <f>(Table1[[#This Row],[Coating weight (mg)]]/1000)/(((Table1[[#This Row],[Electrode Thickness(µm)]]-Constants!$E$4)*10^-4)*Constants!$C$4)</f>
        <v>0.8125565835474704</v>
      </c>
    </row>
    <row r="473" spans="1:11" x14ac:dyDescent="0.35">
      <c r="A473" s="5">
        <v>12441</v>
      </c>
      <c r="C473" s="13" t="s">
        <v>177</v>
      </c>
      <c r="D473" t="s">
        <v>15</v>
      </c>
      <c r="E473">
        <v>23.1</v>
      </c>
      <c r="F473">
        <v>200</v>
      </c>
      <c r="G473">
        <v>13</v>
      </c>
      <c r="H473">
        <f>Table1[[#This Row],[Total electrode weight (mg)]] - IF(ROW()&lt;40, Constants!$B$2 * PI()*(Table1[[#This Row],[Electrode Diameter(mm)]]/(10*2))^2, Constants!$B$4 * PI()*(Table1[[#This Row],[Electrode Diameter(mm)]]/(10*2))^2)</f>
        <v>18.851239409450457</v>
      </c>
      <c r="I473" s="12">
        <f t="shared" si="7"/>
        <v>17.531652650788924</v>
      </c>
      <c r="J473">
        <f>Table1[[#This Row],[Coating weight (mg)]]/Constants!$C$2</f>
        <v>14.881358722414445</v>
      </c>
      <c r="K473">
        <f>(Table1[[#This Row],[Coating weight (mg)]]/1000)/(((Table1[[#This Row],[Electrode Thickness(µm)]]-Constants!$E$4)*10^-4)*Constants!$C$4)</f>
        <v>0.79156163417098113</v>
      </c>
    </row>
    <row r="474" spans="1:11" x14ac:dyDescent="0.35">
      <c r="A474" s="5">
        <v>12442</v>
      </c>
      <c r="C474" s="13" t="s">
        <v>177</v>
      </c>
      <c r="D474" t="s">
        <v>15</v>
      </c>
      <c r="E474">
        <v>23.7</v>
      </c>
      <c r="F474">
        <v>200</v>
      </c>
      <c r="G474">
        <v>13</v>
      </c>
      <c r="H474">
        <f>Table1[[#This Row],[Total electrode weight (mg)]] - IF(ROW()&lt;40, Constants!$B$2 * PI()*(Table1[[#This Row],[Electrode Diameter(mm)]]/(10*2))^2, Constants!$B$4 * PI()*(Table1[[#This Row],[Electrode Diameter(mm)]]/(10*2))^2)</f>
        <v>19.451239409450459</v>
      </c>
      <c r="I474" s="12">
        <f t="shared" si="7"/>
        <v>18.089652650788928</v>
      </c>
      <c r="J474">
        <f>Table1[[#This Row],[Coating weight (mg)]]/Constants!$C$2</f>
        <v>15.355004780348043</v>
      </c>
      <c r="K474">
        <f>(Table1[[#This Row],[Coating weight (mg)]]/1000)/(((Table1[[#This Row],[Electrode Thickness(µm)]]-Constants!$E$4)*10^-4)*Constants!$C$4)</f>
        <v>0.81675557342276828</v>
      </c>
    </row>
    <row r="475" spans="1:11" x14ac:dyDescent="0.35">
      <c r="A475" s="5">
        <v>12443</v>
      </c>
      <c r="C475" s="13" t="s">
        <v>177</v>
      </c>
      <c r="D475" t="s">
        <v>15</v>
      </c>
      <c r="E475">
        <v>21.7</v>
      </c>
      <c r="F475">
        <v>200</v>
      </c>
      <c r="G475">
        <v>13</v>
      </c>
      <c r="H475">
        <f>Table1[[#This Row],[Total electrode weight (mg)]] - IF(ROW()&lt;40, Constants!$B$2 * PI()*(Table1[[#This Row],[Electrode Diameter(mm)]]/(10*2))^2, Constants!$B$4 * PI()*(Table1[[#This Row],[Electrode Diameter(mm)]]/(10*2))^2)</f>
        <v>17.451239409450459</v>
      </c>
      <c r="I475" s="12">
        <f t="shared" si="7"/>
        <v>16.229652650788928</v>
      </c>
      <c r="J475">
        <f>Table1[[#This Row],[Coating weight (mg)]]/Constants!$C$2</f>
        <v>13.776184587236056</v>
      </c>
      <c r="K475">
        <f>(Table1[[#This Row],[Coating weight (mg)]]/1000)/(((Table1[[#This Row],[Electrode Thickness(µm)]]-Constants!$E$4)*10^-4)*Constants!$C$4)</f>
        <v>0.73277577591681153</v>
      </c>
    </row>
    <row r="476" spans="1:11" x14ac:dyDescent="0.35">
      <c r="A476" s="5">
        <v>12444</v>
      </c>
      <c r="C476" s="13" t="s">
        <v>177</v>
      </c>
      <c r="D476" t="s">
        <v>15</v>
      </c>
      <c r="E476">
        <v>21.7</v>
      </c>
      <c r="F476">
        <v>200</v>
      </c>
      <c r="G476">
        <v>13</v>
      </c>
      <c r="H476">
        <f>Table1[[#This Row],[Total electrode weight (mg)]] - IF(ROW()&lt;40, Constants!$B$2 * PI()*(Table1[[#This Row],[Electrode Diameter(mm)]]/(10*2))^2, Constants!$B$4 * PI()*(Table1[[#This Row],[Electrode Diameter(mm)]]/(10*2))^2)</f>
        <v>17.451239409450459</v>
      </c>
      <c r="I476" s="12">
        <f t="shared" si="7"/>
        <v>16.229652650788928</v>
      </c>
      <c r="J476">
        <f>Table1[[#This Row],[Coating weight (mg)]]/Constants!$C$2</f>
        <v>13.776184587236056</v>
      </c>
      <c r="K476">
        <f>(Table1[[#This Row],[Coating weight (mg)]]/1000)/(((Table1[[#This Row],[Electrode Thickness(µm)]]-Constants!$E$4)*10^-4)*Constants!$C$4)</f>
        <v>0.73277577591681153</v>
      </c>
    </row>
    <row r="477" spans="1:11" x14ac:dyDescent="0.35">
      <c r="A477" s="5">
        <v>12445</v>
      </c>
      <c r="C477" s="13" t="s">
        <v>177</v>
      </c>
      <c r="D477" t="s">
        <v>15</v>
      </c>
      <c r="E477">
        <v>23.5</v>
      </c>
      <c r="F477">
        <v>200</v>
      </c>
      <c r="G477">
        <v>13</v>
      </c>
      <c r="H477">
        <f>Table1[[#This Row],[Total electrode weight (mg)]] - IF(ROW()&lt;40, Constants!$B$2 * PI()*(Table1[[#This Row],[Electrode Diameter(mm)]]/(10*2))^2, Constants!$B$4 * PI()*(Table1[[#This Row],[Electrode Diameter(mm)]]/(10*2))^2)</f>
        <v>19.251239409450456</v>
      </c>
      <c r="I477" s="12">
        <f t="shared" si="7"/>
        <v>17.903652650788924</v>
      </c>
      <c r="J477">
        <f>Table1[[#This Row],[Coating weight (mg)]]/Constants!$C$2</f>
        <v>15.197122761036843</v>
      </c>
      <c r="K477">
        <f>(Table1[[#This Row],[Coating weight (mg)]]/1000)/(((Table1[[#This Row],[Electrode Thickness(µm)]]-Constants!$E$4)*10^-4)*Constants!$C$4)</f>
        <v>0.80835759367217241</v>
      </c>
    </row>
    <row r="478" spans="1:11" x14ac:dyDescent="0.35">
      <c r="A478" s="5">
        <v>12446</v>
      </c>
      <c r="C478" s="13" t="s">
        <v>178</v>
      </c>
      <c r="D478" t="s">
        <v>15</v>
      </c>
      <c r="E478">
        <v>23.4</v>
      </c>
      <c r="F478">
        <v>200</v>
      </c>
      <c r="G478">
        <v>13</v>
      </c>
      <c r="H478">
        <f>Table1[[#This Row],[Total electrode weight (mg)]] - IF(ROW()&lt;40, Constants!$B$2 * PI()*(Table1[[#This Row],[Electrode Diameter(mm)]]/(10*2))^2, Constants!$B$4 * PI()*(Table1[[#This Row],[Electrode Diameter(mm)]]/(10*2))^2)</f>
        <v>19.151239409450454</v>
      </c>
      <c r="I478" s="12">
        <f t="shared" si="7"/>
        <v>17.810652650788924</v>
      </c>
      <c r="J478">
        <f>Table1[[#This Row],[Coating weight (mg)]]/Constants!$C$2</f>
        <v>15.118181751381242</v>
      </c>
      <c r="K478">
        <f>(Table1[[#This Row],[Coating weight (mg)]]/1000)/(((Table1[[#This Row],[Electrode Thickness(µm)]]-Constants!$E$4)*10^-4)*Constants!$C$4)</f>
        <v>0.80415860379687454</v>
      </c>
    </row>
    <row r="479" spans="1:11" x14ac:dyDescent="0.35">
      <c r="A479" s="5">
        <v>12447</v>
      </c>
      <c r="C479" s="13" t="s">
        <v>178</v>
      </c>
      <c r="D479" t="s">
        <v>15</v>
      </c>
      <c r="E479">
        <v>23.3</v>
      </c>
      <c r="F479">
        <v>200</v>
      </c>
      <c r="G479">
        <v>13</v>
      </c>
      <c r="H479">
        <f>Table1[[#This Row],[Total electrode weight (mg)]] - IF(ROW()&lt;40, Constants!$B$2 * PI()*(Table1[[#This Row],[Electrode Diameter(mm)]]/(10*2))^2, Constants!$B$4 * PI()*(Table1[[#This Row],[Electrode Diameter(mm)]]/(10*2))^2)</f>
        <v>19.05123940945046</v>
      </c>
      <c r="I479" s="12">
        <f t="shared" si="7"/>
        <v>17.717652650788928</v>
      </c>
      <c r="J479">
        <f>Table1[[#This Row],[Coating weight (mg)]]/Constants!$C$2</f>
        <v>15.039240741725648</v>
      </c>
      <c r="K479">
        <f>(Table1[[#This Row],[Coating weight (mg)]]/1000)/(((Table1[[#This Row],[Electrode Thickness(µm)]]-Constants!$E$4)*10^-4)*Constants!$C$4)</f>
        <v>0.799959613921577</v>
      </c>
    </row>
    <row r="480" spans="1:11" x14ac:dyDescent="0.35">
      <c r="A480" s="5">
        <v>12448</v>
      </c>
      <c r="C480" s="13" t="s">
        <v>178</v>
      </c>
      <c r="D480" t="s">
        <v>15</v>
      </c>
      <c r="E480">
        <v>23.4</v>
      </c>
      <c r="F480">
        <v>200</v>
      </c>
      <c r="G480">
        <v>13</v>
      </c>
      <c r="H480">
        <f>Table1[[#This Row],[Total electrode weight (mg)]] - IF(ROW()&lt;40, Constants!$B$2 * PI()*(Table1[[#This Row],[Electrode Diameter(mm)]]/(10*2))^2, Constants!$B$4 * PI()*(Table1[[#This Row],[Electrode Diameter(mm)]]/(10*2))^2)</f>
        <v>19.151239409450454</v>
      </c>
      <c r="I480" s="12">
        <f t="shared" si="7"/>
        <v>17.810652650788924</v>
      </c>
      <c r="J480">
        <f>Table1[[#This Row],[Coating weight (mg)]]/Constants!$C$2</f>
        <v>15.118181751381242</v>
      </c>
      <c r="K480">
        <f>(Table1[[#This Row],[Coating weight (mg)]]/1000)/(((Table1[[#This Row],[Electrode Thickness(µm)]]-Constants!$E$4)*10^-4)*Constants!$C$4)</f>
        <v>0.80415860379687454</v>
      </c>
    </row>
    <row r="481" spans="1:16" x14ac:dyDescent="0.35">
      <c r="A481" s="5">
        <v>12449</v>
      </c>
      <c r="C481" s="13" t="s">
        <v>178</v>
      </c>
      <c r="D481" t="s">
        <v>15</v>
      </c>
      <c r="E481">
        <v>23.4</v>
      </c>
      <c r="F481">
        <v>200</v>
      </c>
      <c r="G481">
        <v>13</v>
      </c>
      <c r="H481">
        <f>Table1[[#This Row],[Total electrode weight (mg)]] - IF(ROW()&lt;40, Constants!$B$2 * PI()*(Table1[[#This Row],[Electrode Diameter(mm)]]/(10*2))^2, Constants!$B$4 * PI()*(Table1[[#This Row],[Electrode Diameter(mm)]]/(10*2))^2)</f>
        <v>19.151239409450454</v>
      </c>
      <c r="I481" s="12">
        <f t="shared" si="7"/>
        <v>17.810652650788924</v>
      </c>
      <c r="J481">
        <f>Table1[[#This Row],[Coating weight (mg)]]/Constants!$C$2</f>
        <v>15.118181751381242</v>
      </c>
      <c r="K481">
        <f>(Table1[[#This Row],[Coating weight (mg)]]/1000)/(((Table1[[#This Row],[Electrode Thickness(µm)]]-Constants!$E$4)*10^-4)*Constants!$C$4)</f>
        <v>0.80415860379687454</v>
      </c>
    </row>
    <row r="482" spans="1:16" x14ac:dyDescent="0.35">
      <c r="A482" s="5">
        <v>12450</v>
      </c>
      <c r="C482" s="13" t="s">
        <v>178</v>
      </c>
      <c r="D482" t="s">
        <v>15</v>
      </c>
      <c r="E482">
        <v>22.8</v>
      </c>
      <c r="F482">
        <v>200</v>
      </c>
      <c r="G482">
        <v>13</v>
      </c>
      <c r="H482">
        <f>Table1[[#This Row],[Total electrode weight (mg)]] - IF(ROW()&lt;40, Constants!$B$2 * PI()*(Table1[[#This Row],[Electrode Diameter(mm)]]/(10*2))^2, Constants!$B$4 * PI()*(Table1[[#This Row],[Electrode Diameter(mm)]]/(10*2))^2)</f>
        <v>18.55123940945046</v>
      </c>
      <c r="I482" s="12">
        <f t="shared" si="7"/>
        <v>17.252652650788928</v>
      </c>
      <c r="J482">
        <f>Table1[[#This Row],[Coating weight (mg)]]/Constants!$C$2</f>
        <v>14.644535693447651</v>
      </c>
      <c r="K482">
        <f>(Table1[[#This Row],[Coating weight (mg)]]/1000)/(((Table1[[#This Row],[Electrode Thickness(µm)]]-Constants!$E$4)*10^-4)*Constants!$C$4)</f>
        <v>0.77896466454508773</v>
      </c>
    </row>
    <row r="483" spans="1:16" x14ac:dyDescent="0.35">
      <c r="A483" s="5">
        <v>12451</v>
      </c>
      <c r="C483" s="13" t="s">
        <v>178</v>
      </c>
      <c r="D483" t="s">
        <v>15</v>
      </c>
      <c r="E483">
        <v>22.5</v>
      </c>
      <c r="F483">
        <v>200</v>
      </c>
      <c r="G483">
        <v>13</v>
      </c>
      <c r="H483">
        <f>Table1[[#This Row],[Total electrode weight (mg)]] - IF(ROW()&lt;40, Constants!$B$2 * PI()*(Table1[[#This Row],[Electrode Diameter(mm)]]/(10*2))^2, Constants!$B$4 * PI()*(Table1[[#This Row],[Electrode Diameter(mm)]]/(10*2))^2)</f>
        <v>18.251239409450456</v>
      </c>
      <c r="I483" s="12">
        <f t="shared" si="7"/>
        <v>16.973652650788924</v>
      </c>
      <c r="J483">
        <f>Table1[[#This Row],[Coating weight (mg)]]/Constants!$C$2</f>
        <v>14.407712664480849</v>
      </c>
      <c r="K483">
        <f>(Table1[[#This Row],[Coating weight (mg)]]/1000)/(((Table1[[#This Row],[Electrode Thickness(µm)]]-Constants!$E$4)*10^-4)*Constants!$C$4)</f>
        <v>0.76636769491919399</v>
      </c>
    </row>
    <row r="484" spans="1:16" x14ac:dyDescent="0.35">
      <c r="A484" s="5">
        <v>12452</v>
      </c>
      <c r="C484" s="13" t="s">
        <v>179</v>
      </c>
      <c r="D484" t="s">
        <v>15</v>
      </c>
      <c r="E484">
        <v>23.1</v>
      </c>
      <c r="F484">
        <v>200</v>
      </c>
      <c r="G484">
        <v>13</v>
      </c>
      <c r="H484">
        <f>Table1[[#This Row],[Total electrode weight (mg)]] - IF(ROW()&lt;40, Constants!$B$2 * PI()*(Table1[[#This Row],[Electrode Diameter(mm)]]/(10*2))^2, Constants!$B$4 * PI()*(Table1[[#This Row],[Electrode Diameter(mm)]]/(10*2))^2)</f>
        <v>18.851239409450457</v>
      </c>
      <c r="I484" s="12">
        <f t="shared" si="7"/>
        <v>17.531652650788924</v>
      </c>
      <c r="J484">
        <f>Table1[[#This Row],[Coating weight (mg)]]/Constants!$C$2</f>
        <v>14.881358722414445</v>
      </c>
      <c r="K484">
        <f>(Table1[[#This Row],[Coating weight (mg)]]/1000)/(((Table1[[#This Row],[Electrode Thickness(µm)]]-Constants!$E$4)*10^-4)*Constants!$C$4)</f>
        <v>0.79156163417098113</v>
      </c>
    </row>
    <row r="485" spans="1:16" x14ac:dyDescent="0.35">
      <c r="A485" s="5">
        <v>12453</v>
      </c>
      <c r="C485" s="13" t="s">
        <v>179</v>
      </c>
      <c r="D485" t="s">
        <v>15</v>
      </c>
      <c r="E485">
        <v>22.9</v>
      </c>
      <c r="F485">
        <v>200</v>
      </c>
      <c r="G485">
        <v>13</v>
      </c>
      <c r="H485">
        <f>Table1[[#This Row],[Total electrode weight (mg)]] - IF(ROW()&lt;40, Constants!$B$2 * PI()*(Table1[[#This Row],[Electrode Diameter(mm)]]/(10*2))^2, Constants!$B$4 * PI()*(Table1[[#This Row],[Electrode Diameter(mm)]]/(10*2))^2)</f>
        <v>18.651239409450454</v>
      </c>
      <c r="I485" s="12">
        <f t="shared" si="7"/>
        <v>17.345652650788924</v>
      </c>
      <c r="J485">
        <f>Table1[[#This Row],[Coating weight (mg)]]/Constants!$C$2</f>
        <v>14.723476703103245</v>
      </c>
      <c r="K485">
        <f>(Table1[[#This Row],[Coating weight (mg)]]/1000)/(((Table1[[#This Row],[Electrode Thickness(µm)]]-Constants!$E$4)*10^-4)*Constants!$C$4)</f>
        <v>0.78316365442038527</v>
      </c>
    </row>
    <row r="486" spans="1:16" x14ac:dyDescent="0.35">
      <c r="A486" s="5">
        <v>12454</v>
      </c>
      <c r="C486" s="13" t="s">
        <v>179</v>
      </c>
      <c r="D486" t="s">
        <v>15</v>
      </c>
      <c r="E486">
        <v>23.6</v>
      </c>
      <c r="F486">
        <v>200</v>
      </c>
      <c r="G486">
        <v>13</v>
      </c>
      <c r="H486">
        <f>Table1[[#This Row],[Total electrode weight (mg)]] - IF(ROW()&lt;40, Constants!$B$2 * PI()*(Table1[[#This Row],[Electrode Diameter(mm)]]/(10*2))^2, Constants!$B$4 * PI()*(Table1[[#This Row],[Electrode Diameter(mm)]]/(10*2))^2)</f>
        <v>19.351239409450457</v>
      </c>
      <c r="I486" s="12">
        <f t="shared" si="7"/>
        <v>17.996652650788928</v>
      </c>
      <c r="J486">
        <f>Table1[[#This Row],[Coating weight (mg)]]/Constants!$C$2</f>
        <v>15.276063770692444</v>
      </c>
      <c r="K486">
        <f>(Table1[[#This Row],[Coating weight (mg)]]/1000)/(((Table1[[#This Row],[Electrode Thickness(µm)]]-Constants!$E$4)*10^-4)*Constants!$C$4)</f>
        <v>0.8125565835474704</v>
      </c>
    </row>
    <row r="487" spans="1:16" x14ac:dyDescent="0.35">
      <c r="A487" s="5">
        <v>12455</v>
      </c>
      <c r="C487" s="13" t="s">
        <v>179</v>
      </c>
      <c r="D487" t="s">
        <v>15</v>
      </c>
      <c r="E487">
        <v>21.6</v>
      </c>
      <c r="F487">
        <v>200</v>
      </c>
      <c r="G487">
        <v>13</v>
      </c>
      <c r="H487">
        <f>Table1[[#This Row],[Total electrode weight (mg)]] - IF(ROW()&lt;40, Constants!$B$2 * PI()*(Table1[[#This Row],[Electrode Diameter(mm)]]/(10*2))^2, Constants!$B$4 * PI()*(Table1[[#This Row],[Electrode Diameter(mm)]]/(10*2))^2)</f>
        <v>17.351239409450457</v>
      </c>
      <c r="I487" s="12">
        <f t="shared" si="7"/>
        <v>16.136652650788925</v>
      </c>
      <c r="J487">
        <f>Table1[[#This Row],[Coating weight (mg)]]/Constants!$C$2</f>
        <v>13.697243577580455</v>
      </c>
      <c r="K487">
        <f>(Table1[[#This Row],[Coating weight (mg)]]/1000)/(((Table1[[#This Row],[Electrode Thickness(µm)]]-Constants!$E$4)*10^-4)*Constants!$C$4)</f>
        <v>0.72857678604151355</v>
      </c>
    </row>
    <row r="488" spans="1:16" x14ac:dyDescent="0.35">
      <c r="A488" s="5">
        <v>12456</v>
      </c>
      <c r="C488" s="13" t="s">
        <v>179</v>
      </c>
      <c r="D488" t="s">
        <v>15</v>
      </c>
      <c r="E488">
        <v>23.1</v>
      </c>
      <c r="F488">
        <v>200</v>
      </c>
      <c r="G488">
        <v>13</v>
      </c>
      <c r="H488">
        <f>Table1[[#This Row],[Total electrode weight (mg)]] - IF(ROW()&lt;40, Constants!$B$2 * PI()*(Table1[[#This Row],[Electrode Diameter(mm)]]/(10*2))^2, Constants!$B$4 * PI()*(Table1[[#This Row],[Electrode Diameter(mm)]]/(10*2))^2)</f>
        <v>18.851239409450457</v>
      </c>
      <c r="I488" s="12">
        <f t="shared" si="7"/>
        <v>17.531652650788924</v>
      </c>
      <c r="J488">
        <f>Table1[[#This Row],[Coating weight (mg)]]/Constants!$C$2</f>
        <v>14.881358722414445</v>
      </c>
      <c r="K488">
        <f>(Table1[[#This Row],[Coating weight (mg)]]/1000)/(((Table1[[#This Row],[Electrode Thickness(µm)]]-Constants!$E$4)*10^-4)*Constants!$C$4)</f>
        <v>0.79156163417098113</v>
      </c>
    </row>
    <row r="489" spans="1:16" x14ac:dyDescent="0.35">
      <c r="A489" s="5">
        <v>12457</v>
      </c>
      <c r="C489" s="13" t="s">
        <v>179</v>
      </c>
      <c r="D489" t="s">
        <v>15</v>
      </c>
      <c r="E489">
        <v>23.1</v>
      </c>
      <c r="F489">
        <v>200</v>
      </c>
      <c r="G489">
        <v>13</v>
      </c>
      <c r="H489">
        <f>Table1[[#This Row],[Total electrode weight (mg)]] - IF(ROW()&lt;40, Constants!$B$2 * PI()*(Table1[[#This Row],[Electrode Diameter(mm)]]/(10*2))^2, Constants!$B$4 * PI()*(Table1[[#This Row],[Electrode Diameter(mm)]]/(10*2))^2)</f>
        <v>18.851239409450457</v>
      </c>
      <c r="I489" s="12">
        <f t="shared" si="7"/>
        <v>17.531652650788924</v>
      </c>
      <c r="J489">
        <f>Table1[[#This Row],[Coating weight (mg)]]/Constants!$C$2</f>
        <v>14.881358722414445</v>
      </c>
      <c r="K489">
        <f>(Table1[[#This Row],[Coating weight (mg)]]/1000)/(((Table1[[#This Row],[Electrode Thickness(µm)]]-Constants!$E$4)*10^-4)*Constants!$C$4)</f>
        <v>0.79156163417098113</v>
      </c>
    </row>
    <row r="490" spans="1:16" x14ac:dyDescent="0.35">
      <c r="A490" s="28">
        <v>12458</v>
      </c>
      <c r="C490" s="13" t="s">
        <v>180</v>
      </c>
      <c r="D490" t="s">
        <v>15</v>
      </c>
      <c r="E490">
        <v>23.6</v>
      </c>
      <c r="F490">
        <v>93</v>
      </c>
      <c r="G490">
        <v>13</v>
      </c>
      <c r="H490">
        <f>Table1[[#This Row],[Total electrode weight (mg)]] - IF(ROW()&lt;40, Constants!$B$2 * PI()*(Table1[[#This Row],[Electrode Diameter(mm)]]/(10*2))^2, Constants!$B$4 * PI()*(Table1[[#This Row],[Electrode Diameter(mm)]]/(10*2))^2)</f>
        <v>19.351239409450457</v>
      </c>
      <c r="I490" s="12">
        <f t="shared" si="7"/>
        <v>17.996652650788928</v>
      </c>
      <c r="J490">
        <f>Table1[[#This Row],[Coating weight (mg)]]/Constants!$C$2</f>
        <v>15.276063770692444</v>
      </c>
      <c r="K490">
        <f>(Table1[[#This Row],[Coating weight (mg)]]/1000)/(((Table1[[#This Row],[Electrode Thickness(µm)]]-Constants!$E$4)*10^-4)*Constants!$C$4)</f>
        <v>1.8859337988509193</v>
      </c>
      <c r="O490">
        <f>AVERAGE(K490:K495)</f>
        <v>1.8209617744430184</v>
      </c>
      <c r="P490">
        <f>_xlfn.STDEV.P(K490:K495)</f>
        <v>5.3871956707704977E-2</v>
      </c>
    </row>
    <row r="491" spans="1:16" x14ac:dyDescent="0.35">
      <c r="A491" s="28">
        <v>12459</v>
      </c>
      <c r="C491" s="13" t="s">
        <v>180</v>
      </c>
      <c r="D491" t="s">
        <v>15</v>
      </c>
      <c r="E491">
        <v>23.4</v>
      </c>
      <c r="F491">
        <v>93</v>
      </c>
      <c r="G491">
        <v>13</v>
      </c>
      <c r="H491">
        <f>Table1[[#This Row],[Total electrode weight (mg)]] - IF(ROW()&lt;40, Constants!$B$2 * PI()*(Table1[[#This Row],[Electrode Diameter(mm)]]/(10*2))^2, Constants!$B$4 * PI()*(Table1[[#This Row],[Electrode Diameter(mm)]]/(10*2))^2)</f>
        <v>19.151239409450454</v>
      </c>
      <c r="I491" s="12">
        <f t="shared" si="7"/>
        <v>17.810652650788924</v>
      </c>
      <c r="J491">
        <f>Table1[[#This Row],[Coating weight (mg)]]/Constants!$C$2</f>
        <v>15.118181751381242</v>
      </c>
      <c r="K491">
        <f>(Table1[[#This Row],[Coating weight (mg)]]/1000)/(((Table1[[#This Row],[Electrode Thickness(µm)]]-Constants!$E$4)*10^-4)*Constants!$C$4)</f>
        <v>1.8664421915285485</v>
      </c>
      <c r="P491">
        <f t="shared" ref="P491:P502" si="8">_xlfn.STDEV.P(K491:K496)</f>
        <v>8.9830872536488193E-2</v>
      </c>
    </row>
    <row r="492" spans="1:16" x14ac:dyDescent="0.35">
      <c r="A492" s="28">
        <v>12460</v>
      </c>
      <c r="C492" s="13" t="s">
        <v>180</v>
      </c>
      <c r="D492" t="s">
        <v>15</v>
      </c>
      <c r="E492">
        <v>22.7</v>
      </c>
      <c r="F492">
        <v>93</v>
      </c>
      <c r="G492">
        <v>13</v>
      </c>
      <c r="H492">
        <f>Table1[[#This Row],[Total electrode weight (mg)]] - IF(ROW()&lt;40, Constants!$B$2 * PI()*(Table1[[#This Row],[Electrode Diameter(mm)]]/(10*2))^2, Constants!$B$4 * PI()*(Table1[[#This Row],[Electrode Diameter(mm)]]/(10*2))^2)</f>
        <v>18.451239409450459</v>
      </c>
      <c r="I492" s="12">
        <f t="shared" si="7"/>
        <v>17.159652650788928</v>
      </c>
      <c r="J492">
        <f>Table1[[#This Row],[Coating weight (mg)]]/Constants!$C$2</f>
        <v>14.56559468379205</v>
      </c>
      <c r="K492">
        <f>(Table1[[#This Row],[Coating weight (mg)]]/1000)/(((Table1[[#This Row],[Electrode Thickness(µm)]]-Constants!$E$4)*10^-4)*Constants!$C$4)</f>
        <v>1.7982215659002532</v>
      </c>
      <c r="P492">
        <f t="shared" si="8"/>
        <v>0.12897134857521617</v>
      </c>
    </row>
    <row r="493" spans="1:16" x14ac:dyDescent="0.35">
      <c r="A493" s="28">
        <v>12461</v>
      </c>
      <c r="C493" s="13" t="s">
        <v>180</v>
      </c>
      <c r="D493" t="s">
        <v>15</v>
      </c>
      <c r="E493">
        <v>22</v>
      </c>
      <c r="F493">
        <v>93</v>
      </c>
      <c r="G493">
        <v>13</v>
      </c>
      <c r="H493">
        <f>Table1[[#This Row],[Total electrode weight (mg)]] - IF(ROW()&lt;40, Constants!$B$2 * PI()*(Table1[[#This Row],[Electrode Diameter(mm)]]/(10*2))^2, Constants!$B$4 * PI()*(Table1[[#This Row],[Electrode Diameter(mm)]]/(10*2))^2)</f>
        <v>17.751239409450456</v>
      </c>
      <c r="I493" s="12">
        <f t="shared" si="7"/>
        <v>16.508652650788925</v>
      </c>
      <c r="J493">
        <f>Table1[[#This Row],[Coating weight (mg)]]/Constants!$C$2</f>
        <v>14.013007616202852</v>
      </c>
      <c r="K493">
        <f>(Table1[[#This Row],[Coating weight (mg)]]/1000)/(((Table1[[#This Row],[Electrode Thickness(µm)]]-Constants!$E$4)*10^-4)*Constants!$C$4)</f>
        <v>1.7300009402719572</v>
      </c>
      <c r="P493">
        <f t="shared" si="8"/>
        <v>0.12653902378775356</v>
      </c>
    </row>
    <row r="494" spans="1:16" x14ac:dyDescent="0.35">
      <c r="A494" s="28">
        <v>12462</v>
      </c>
      <c r="C494" s="13" t="s">
        <v>180</v>
      </c>
      <c r="D494" t="s">
        <v>15</v>
      </c>
      <c r="E494">
        <v>22.6</v>
      </c>
      <c r="F494">
        <v>93</v>
      </c>
      <c r="G494">
        <v>13</v>
      </c>
      <c r="H494">
        <f>Table1[[#This Row],[Total electrode weight (mg)]] - IF(ROW()&lt;40, Constants!$B$2 * PI()*(Table1[[#This Row],[Electrode Diameter(mm)]]/(10*2))^2, Constants!$B$4 * PI()*(Table1[[#This Row],[Electrode Diameter(mm)]]/(10*2))^2)</f>
        <v>18.351239409450457</v>
      </c>
      <c r="I494" s="12">
        <f t="shared" si="7"/>
        <v>17.066652650788924</v>
      </c>
      <c r="J494">
        <f>Table1[[#This Row],[Coating weight (mg)]]/Constants!$C$2</f>
        <v>14.486653674136448</v>
      </c>
      <c r="K494">
        <f>(Table1[[#This Row],[Coating weight (mg)]]/1000)/(((Table1[[#This Row],[Electrode Thickness(µm)]]-Constants!$E$4)*10^-4)*Constants!$C$4)</f>
        <v>1.7884757622390681</v>
      </c>
      <c r="P494">
        <f t="shared" si="8"/>
        <v>0.12627057050346038</v>
      </c>
    </row>
    <row r="495" spans="1:16" x14ac:dyDescent="0.35">
      <c r="A495" s="28">
        <v>12463</v>
      </c>
      <c r="C495" s="13" t="s">
        <v>180</v>
      </c>
      <c r="D495" t="s">
        <v>15</v>
      </c>
      <c r="E495">
        <v>23.3</v>
      </c>
      <c r="F495">
        <v>93</v>
      </c>
      <c r="G495">
        <v>13</v>
      </c>
      <c r="H495">
        <f>Table1[[#This Row],[Total electrode weight (mg)]] - IF(ROW()&lt;40, Constants!$B$2 * PI()*(Table1[[#This Row],[Electrode Diameter(mm)]]/(10*2))^2, Constants!$B$4 * PI()*(Table1[[#This Row],[Electrode Diameter(mm)]]/(10*2))^2)</f>
        <v>19.05123940945046</v>
      </c>
      <c r="I495" s="12">
        <f t="shared" si="7"/>
        <v>17.717652650788928</v>
      </c>
      <c r="J495">
        <f>Table1[[#This Row],[Coating weight (mg)]]/Constants!$C$2</f>
        <v>15.039240741725648</v>
      </c>
      <c r="K495">
        <f>(Table1[[#This Row],[Coating weight (mg)]]/1000)/(((Table1[[#This Row],[Electrode Thickness(µm)]]-Constants!$E$4)*10^-4)*Constants!$C$4)</f>
        <v>1.8566963878673641</v>
      </c>
      <c r="P495">
        <f t="shared" si="8"/>
        <v>0.11214920897979287</v>
      </c>
    </row>
    <row r="496" spans="1:16" x14ac:dyDescent="0.35">
      <c r="A496" s="28">
        <v>12464</v>
      </c>
      <c r="C496" s="13" t="s">
        <v>181</v>
      </c>
      <c r="D496" t="s">
        <v>15</v>
      </c>
      <c r="E496">
        <v>23.3</v>
      </c>
      <c r="F496">
        <v>106</v>
      </c>
      <c r="G496">
        <v>13</v>
      </c>
      <c r="H496">
        <f>Table1[[#This Row],[Total electrode weight (mg)]] - IF(ROW()&lt;40, Constants!$B$2 * PI()*(Table1[[#This Row],[Electrode Diameter(mm)]]/(10*2))^2, Constants!$B$4 * PI()*(Table1[[#This Row],[Electrode Diameter(mm)]]/(10*2))^2)</f>
        <v>19.05123940945046</v>
      </c>
      <c r="I496" s="12">
        <f t="shared" si="7"/>
        <v>17.717652650788928</v>
      </c>
      <c r="J496">
        <f>Table1[[#This Row],[Coating weight (mg)]]/Constants!$C$2</f>
        <v>15.039240741725648</v>
      </c>
      <c r="K496">
        <f>(Table1[[#This Row],[Coating weight (mg)]]/1000)/(((Table1[[#This Row],[Electrode Thickness(µm)]]-Constants!$E$4)*10^-4)*Constants!$C$4)</f>
        <v>1.599919227843154</v>
      </c>
      <c r="O496">
        <f>AVERAGE(K496:K501)</f>
        <v>1.5775246151748983</v>
      </c>
      <c r="P496">
        <f t="shared" si="8"/>
        <v>4.6167676738005675E-2</v>
      </c>
    </row>
    <row r="497" spans="1:16" x14ac:dyDescent="0.35">
      <c r="A497" s="28">
        <v>12465</v>
      </c>
      <c r="C497" s="13" t="s">
        <v>181</v>
      </c>
      <c r="D497" t="s">
        <v>15</v>
      </c>
      <c r="E497">
        <v>21.9</v>
      </c>
      <c r="F497">
        <v>106</v>
      </c>
      <c r="G497">
        <v>13</v>
      </c>
      <c r="H497">
        <f>Table1[[#This Row],[Total electrode weight (mg)]] - IF(ROW()&lt;40, Constants!$B$2 * PI()*(Table1[[#This Row],[Electrode Diameter(mm)]]/(10*2))^2, Constants!$B$4 * PI()*(Table1[[#This Row],[Electrode Diameter(mm)]]/(10*2))^2)</f>
        <v>17.651239409450454</v>
      </c>
      <c r="I497" s="12">
        <f t="shared" si="7"/>
        <v>16.415652650788925</v>
      </c>
      <c r="J497">
        <f>Table1[[#This Row],[Coating weight (mg)]]/Constants!$C$2</f>
        <v>13.934066606547251</v>
      </c>
      <c r="K497">
        <f>(Table1[[#This Row],[Coating weight (mg)]]/1000)/(((Table1[[#This Row],[Electrode Thickness(µm)]]-Constants!$E$4)*10^-4)*Constants!$C$4)</f>
        <v>1.4823475113348139</v>
      </c>
      <c r="P497">
        <f t="shared" si="8"/>
        <v>0.22869158335472634</v>
      </c>
    </row>
    <row r="498" spans="1:16" x14ac:dyDescent="0.35">
      <c r="A498" s="28">
        <v>12466</v>
      </c>
      <c r="C498" s="13" t="s">
        <v>181</v>
      </c>
      <c r="D498" t="s">
        <v>15</v>
      </c>
      <c r="E498">
        <v>23.4</v>
      </c>
      <c r="F498">
        <v>106</v>
      </c>
      <c r="G498">
        <v>13</v>
      </c>
      <c r="H498">
        <f>Table1[[#This Row],[Total electrode weight (mg)]] - IF(ROW()&lt;40, Constants!$B$2 * PI()*(Table1[[#This Row],[Electrode Diameter(mm)]]/(10*2))^2, Constants!$B$4 * PI()*(Table1[[#This Row],[Electrode Diameter(mm)]]/(10*2))^2)</f>
        <v>19.151239409450454</v>
      </c>
      <c r="I498" s="12">
        <f t="shared" si="7"/>
        <v>17.810652650788924</v>
      </c>
      <c r="J498">
        <f>Table1[[#This Row],[Coating weight (mg)]]/Constants!$C$2</f>
        <v>15.118181751381242</v>
      </c>
      <c r="K498">
        <f>(Table1[[#This Row],[Coating weight (mg)]]/1000)/(((Table1[[#This Row],[Electrode Thickness(µm)]]-Constants!$E$4)*10^-4)*Constants!$C$4)</f>
        <v>1.6083172075937491</v>
      </c>
      <c r="P498">
        <f t="shared" si="8"/>
        <v>0.29615088566269993</v>
      </c>
    </row>
    <row r="499" spans="1:16" x14ac:dyDescent="0.35">
      <c r="A499" s="28">
        <v>12467</v>
      </c>
      <c r="C499" s="13" t="s">
        <v>181</v>
      </c>
      <c r="D499" t="s">
        <v>15</v>
      </c>
      <c r="E499">
        <v>23.4</v>
      </c>
      <c r="F499">
        <v>106</v>
      </c>
      <c r="G499">
        <v>13</v>
      </c>
      <c r="H499">
        <f>Table1[[#This Row],[Total electrode weight (mg)]] - IF(ROW()&lt;40, Constants!$B$2 * PI()*(Table1[[#This Row],[Electrode Diameter(mm)]]/(10*2))^2, Constants!$B$4 * PI()*(Table1[[#This Row],[Electrode Diameter(mm)]]/(10*2))^2)</f>
        <v>19.151239409450454</v>
      </c>
      <c r="I499" s="12">
        <f t="shared" si="7"/>
        <v>17.810652650788924</v>
      </c>
      <c r="J499">
        <f>Table1[[#This Row],[Coating weight (mg)]]/Constants!$C$2</f>
        <v>15.118181751381242</v>
      </c>
      <c r="K499">
        <f>(Table1[[#This Row],[Coating weight (mg)]]/1000)/(((Table1[[#This Row],[Electrode Thickness(µm)]]-Constants!$E$4)*10^-4)*Constants!$C$4)</f>
        <v>1.6083172075937491</v>
      </c>
      <c r="P499">
        <f t="shared" si="8"/>
        <v>0.31051420214731607</v>
      </c>
    </row>
    <row r="500" spans="1:16" x14ac:dyDescent="0.35">
      <c r="A500" s="28">
        <v>12468</v>
      </c>
      <c r="C500" s="13" t="s">
        <v>181</v>
      </c>
      <c r="D500" t="s">
        <v>15</v>
      </c>
      <c r="E500">
        <v>23.4</v>
      </c>
      <c r="F500">
        <v>106</v>
      </c>
      <c r="G500">
        <v>13</v>
      </c>
      <c r="H500">
        <f>Table1[[#This Row],[Total electrode weight (mg)]] - IF(ROW()&lt;40, Constants!$B$2 * PI()*(Table1[[#This Row],[Electrode Diameter(mm)]]/(10*2))^2, Constants!$B$4 * PI()*(Table1[[#This Row],[Electrode Diameter(mm)]]/(10*2))^2)</f>
        <v>19.151239409450454</v>
      </c>
      <c r="I500" s="12">
        <f t="shared" si="7"/>
        <v>17.810652650788924</v>
      </c>
      <c r="J500">
        <f>Table1[[#This Row],[Coating weight (mg)]]/Constants!$C$2</f>
        <v>15.118181751381242</v>
      </c>
      <c r="K500">
        <f>(Table1[[#This Row],[Coating weight (mg)]]/1000)/(((Table1[[#This Row],[Electrode Thickness(µm)]]-Constants!$E$4)*10^-4)*Constants!$C$4)</f>
        <v>1.6083172075937491</v>
      </c>
      <c r="P500">
        <f t="shared" si="8"/>
        <v>0.27802543748360264</v>
      </c>
    </row>
    <row r="501" spans="1:16" x14ac:dyDescent="0.35">
      <c r="A501" s="28">
        <v>12469</v>
      </c>
      <c r="C501" s="13" t="s">
        <v>181</v>
      </c>
      <c r="D501" t="s">
        <v>15</v>
      </c>
      <c r="E501">
        <v>22.8</v>
      </c>
      <c r="F501">
        <v>106</v>
      </c>
      <c r="G501">
        <v>13</v>
      </c>
      <c r="H501">
        <f>Table1[[#This Row],[Total electrode weight (mg)]] - IF(ROW()&lt;40, Constants!$B$2 * PI()*(Table1[[#This Row],[Electrode Diameter(mm)]]/(10*2))^2, Constants!$B$4 * PI()*(Table1[[#This Row],[Electrode Diameter(mm)]]/(10*2))^2)</f>
        <v>18.55123940945046</v>
      </c>
      <c r="I501" s="12">
        <f t="shared" si="7"/>
        <v>17.252652650788928</v>
      </c>
      <c r="J501">
        <f>Table1[[#This Row],[Coating weight (mg)]]/Constants!$C$2</f>
        <v>14.644535693447651</v>
      </c>
      <c r="K501">
        <f>(Table1[[#This Row],[Coating weight (mg)]]/1000)/(((Table1[[#This Row],[Electrode Thickness(µm)]]-Constants!$E$4)*10^-4)*Constants!$C$4)</f>
        <v>1.5579293290901755</v>
      </c>
      <c r="P501">
        <f t="shared" si="8"/>
        <v>0.21319754702940613</v>
      </c>
    </row>
    <row r="502" spans="1:16" x14ac:dyDescent="0.35">
      <c r="A502" s="28">
        <v>12470</v>
      </c>
      <c r="C502" s="13" t="s">
        <v>177</v>
      </c>
      <c r="D502" t="s">
        <v>15</v>
      </c>
      <c r="E502">
        <v>21.6</v>
      </c>
      <c r="F502">
        <v>153</v>
      </c>
      <c r="G502">
        <v>13</v>
      </c>
      <c r="H502">
        <f>Table1[[#This Row],[Total electrode weight (mg)]] - IF(ROW()&lt;40, Constants!$B$2 * PI()*(Table1[[#This Row],[Electrode Diameter(mm)]]/(10*2))^2, Constants!$B$4 * PI()*(Table1[[#This Row],[Electrode Diameter(mm)]]/(10*2))^2)</f>
        <v>17.351239409450457</v>
      </c>
      <c r="I502" s="12">
        <f t="shared" si="7"/>
        <v>16.136652650788925</v>
      </c>
      <c r="J502">
        <f>Table1[[#This Row],[Coating weight (mg)]]/Constants!$C$2</f>
        <v>13.697243577580455</v>
      </c>
      <c r="K502">
        <f>(Table1[[#This Row],[Coating weight (mg)]]/1000)/(((Table1[[#This Row],[Electrode Thickness(µm)]]-Constants!$E$4)*10^-4)*Constants!$C$4)</f>
        <v>0.97143571472201795</v>
      </c>
      <c r="O502">
        <f>AVERAGE(K502:K507)</f>
        <v>0.99476343625145069</v>
      </c>
      <c r="P502">
        <f t="shared" si="8"/>
        <v>4.2566540351625957E-2</v>
      </c>
    </row>
    <row r="503" spans="1:16" x14ac:dyDescent="0.35">
      <c r="A503" s="28">
        <v>12471</v>
      </c>
      <c r="C503" s="13" t="s">
        <v>177</v>
      </c>
      <c r="D503" t="s">
        <v>15</v>
      </c>
      <c r="E503">
        <v>21.5</v>
      </c>
      <c r="F503">
        <v>153</v>
      </c>
      <c r="G503">
        <v>13</v>
      </c>
      <c r="H503">
        <f>Table1[[#This Row],[Total electrode weight (mg)]] - IF(ROW()&lt;40, Constants!$B$2 * PI()*(Table1[[#This Row],[Electrode Diameter(mm)]]/(10*2))^2, Constants!$B$4 * PI()*(Table1[[#This Row],[Electrode Diameter(mm)]]/(10*2))^2)</f>
        <v>17.251239409450456</v>
      </c>
      <c r="I503" s="12">
        <f t="shared" si="7"/>
        <v>16.043652650788925</v>
      </c>
      <c r="J503">
        <f>Table1[[#This Row],[Coating weight (mg)]]/Constants!$C$2</f>
        <v>13.618302567924854</v>
      </c>
      <c r="K503">
        <f>(Table1[[#This Row],[Coating weight (mg)]]/1000)/(((Table1[[#This Row],[Electrode Thickness(µm)]]-Constants!$E$4)*10^-4)*Constants!$C$4)</f>
        <v>0.96583706155495408</v>
      </c>
    </row>
    <row r="504" spans="1:16" x14ac:dyDescent="0.35">
      <c r="A504" s="28">
        <v>12472</v>
      </c>
      <c r="C504" s="13" t="s">
        <v>177</v>
      </c>
      <c r="D504" t="s">
        <v>15</v>
      </c>
      <c r="E504">
        <v>21.7</v>
      </c>
      <c r="F504">
        <v>153</v>
      </c>
      <c r="G504">
        <v>13</v>
      </c>
      <c r="H504">
        <f>Table1[[#This Row],[Total electrode weight (mg)]] - IF(ROW()&lt;40, Constants!$B$2 * PI()*(Table1[[#This Row],[Electrode Diameter(mm)]]/(10*2))^2, Constants!$B$4 * PI()*(Table1[[#This Row],[Electrode Diameter(mm)]]/(10*2))^2)</f>
        <v>17.451239409450459</v>
      </c>
      <c r="I504" s="12">
        <f t="shared" si="7"/>
        <v>16.229652650788928</v>
      </c>
      <c r="J504">
        <f>Table1[[#This Row],[Coating weight (mg)]]/Constants!$C$2</f>
        <v>13.776184587236056</v>
      </c>
      <c r="K504">
        <f>(Table1[[#This Row],[Coating weight (mg)]]/1000)/(((Table1[[#This Row],[Electrode Thickness(µm)]]-Constants!$E$4)*10^-4)*Constants!$C$4)</f>
        <v>0.97703436788908193</v>
      </c>
    </row>
    <row r="505" spans="1:16" x14ac:dyDescent="0.35">
      <c r="A505" s="28">
        <v>12473</v>
      </c>
      <c r="C505" s="13" t="s">
        <v>177</v>
      </c>
      <c r="D505" t="s">
        <v>15</v>
      </c>
      <c r="E505">
        <v>23.7</v>
      </c>
      <c r="F505">
        <v>153</v>
      </c>
      <c r="G505">
        <v>13</v>
      </c>
      <c r="H505">
        <f>Table1[[#This Row],[Total electrode weight (mg)]] - IF(ROW()&lt;40, Constants!$B$2 * PI()*(Table1[[#This Row],[Electrode Diameter(mm)]]/(10*2))^2, Constants!$B$4 * PI()*(Table1[[#This Row],[Electrode Diameter(mm)]]/(10*2))^2)</f>
        <v>19.451239409450459</v>
      </c>
      <c r="I505" s="12">
        <f t="shared" si="7"/>
        <v>18.089652650788928</v>
      </c>
      <c r="J505">
        <f>Table1[[#This Row],[Coating weight (mg)]]/Constants!$C$2</f>
        <v>15.355004780348043</v>
      </c>
      <c r="K505">
        <f>(Table1[[#This Row],[Coating weight (mg)]]/1000)/(((Table1[[#This Row],[Electrode Thickness(µm)]]-Constants!$E$4)*10^-4)*Constants!$C$4)</f>
        <v>1.0890074312303575</v>
      </c>
    </row>
    <row r="506" spans="1:16" x14ac:dyDescent="0.35">
      <c r="A506" s="28">
        <v>12474</v>
      </c>
      <c r="C506" s="13" t="s">
        <v>177</v>
      </c>
      <c r="D506" t="s">
        <v>15</v>
      </c>
      <c r="E506">
        <v>21.8</v>
      </c>
      <c r="F506">
        <v>153</v>
      </c>
      <c r="G506">
        <v>13</v>
      </c>
      <c r="H506">
        <f>Table1[[#This Row],[Total electrode weight (mg)]] - IF(ROW()&lt;40, Constants!$B$2 * PI()*(Table1[[#This Row],[Electrode Diameter(mm)]]/(10*2))^2, Constants!$B$4 * PI()*(Table1[[#This Row],[Electrode Diameter(mm)]]/(10*2))^2)</f>
        <v>17.55123940945046</v>
      </c>
      <c r="I506" s="12">
        <f t="shared" si="7"/>
        <v>16.322652650788928</v>
      </c>
      <c r="J506">
        <f>Table1[[#This Row],[Coating weight (mg)]]/Constants!$C$2</f>
        <v>13.855125596891655</v>
      </c>
      <c r="K506">
        <f>(Table1[[#This Row],[Coating weight (mg)]]/1000)/(((Table1[[#This Row],[Electrode Thickness(µm)]]-Constants!$E$4)*10^-4)*Constants!$C$4)</f>
        <v>0.98263302105614569</v>
      </c>
      <c r="O506" t="s">
        <v>182</v>
      </c>
    </row>
    <row r="507" spans="1:16" x14ac:dyDescent="0.35">
      <c r="A507" s="28">
        <v>12475</v>
      </c>
      <c r="C507" s="13" t="s">
        <v>177</v>
      </c>
      <c r="D507" t="s">
        <v>15</v>
      </c>
      <c r="E507">
        <v>21.8</v>
      </c>
      <c r="F507">
        <v>153</v>
      </c>
      <c r="G507">
        <v>13</v>
      </c>
      <c r="H507">
        <f>Table1[[#This Row],[Total electrode weight (mg)]] - IF(ROW()&lt;40, Constants!$B$2 * PI()*(Table1[[#This Row],[Electrode Diameter(mm)]]/(10*2))^2, Constants!$B$4 * PI()*(Table1[[#This Row],[Electrode Diameter(mm)]]/(10*2))^2)</f>
        <v>17.55123940945046</v>
      </c>
      <c r="I507" s="12">
        <f t="shared" si="7"/>
        <v>16.322652650788928</v>
      </c>
      <c r="J507">
        <f>Table1[[#This Row],[Coating weight (mg)]]/Constants!$C$2</f>
        <v>13.855125596891655</v>
      </c>
      <c r="K507">
        <f>(Table1[[#This Row],[Coating weight (mg)]]/1000)/(((Table1[[#This Row],[Electrode Thickness(µm)]]-Constants!$E$4)*10^-4)*Constants!$C$4)</f>
        <v>0.98263302105614569</v>
      </c>
      <c r="O507" t="s">
        <v>182</v>
      </c>
    </row>
    <row r="508" spans="1:16" x14ac:dyDescent="0.35">
      <c r="A508" s="28">
        <v>12476</v>
      </c>
      <c r="C508" s="13" t="s">
        <v>183</v>
      </c>
      <c r="D508" t="s">
        <v>15</v>
      </c>
      <c r="E508">
        <v>24.3</v>
      </c>
      <c r="G508">
        <v>13</v>
      </c>
      <c r="H508">
        <f>Table1[[#This Row],[Total electrode weight (mg)]] - IF(ROW()&lt;40, Constants!$B$2 * PI()*(Table1[[#This Row],[Electrode Diameter(mm)]]/(10*2))^2, Constants!$B$4 * PI()*(Table1[[#This Row],[Electrode Diameter(mm)]]/(10*2))^2)</f>
        <v>20.05123940945046</v>
      </c>
      <c r="I508" s="12">
        <f t="shared" si="7"/>
        <v>18.647652650788928</v>
      </c>
      <c r="J508">
        <f>Table1[[#This Row],[Coating weight (mg)]]/Constants!$C$2</f>
        <v>15.828650838281641</v>
      </c>
      <c r="K508">
        <f>(Table1[[#This Row],[Coating weight (mg)]]/1000)/(((Table1[[#This Row],[Electrode Thickness(µm)]]-Constants!$E$4)*10^-4)*Constants!$C$4)</f>
        <v>-13.1905423652347</v>
      </c>
    </row>
    <row r="509" spans="1:16" x14ac:dyDescent="0.35">
      <c r="A509" s="28">
        <v>12477</v>
      </c>
      <c r="C509" s="13" t="s">
        <v>183</v>
      </c>
      <c r="D509" t="s">
        <v>15</v>
      </c>
      <c r="E509">
        <v>24.3</v>
      </c>
      <c r="G509">
        <v>13</v>
      </c>
      <c r="H509">
        <f>Table1[[#This Row],[Total electrode weight (mg)]] - IF(ROW()&lt;40, Constants!$B$2 * PI()*(Table1[[#This Row],[Electrode Diameter(mm)]]/(10*2))^2, Constants!$B$4 * PI()*(Table1[[#This Row],[Electrode Diameter(mm)]]/(10*2))^2)</f>
        <v>20.05123940945046</v>
      </c>
      <c r="I509" s="12">
        <f t="shared" si="7"/>
        <v>18.647652650788928</v>
      </c>
      <c r="J509">
        <f>Table1[[#This Row],[Coating weight (mg)]]/Constants!$C$2</f>
        <v>15.828650838281641</v>
      </c>
      <c r="K509">
        <f>(Table1[[#This Row],[Coating weight (mg)]]/1000)/(((Table1[[#This Row],[Electrode Thickness(µm)]]-Constants!$E$4)*10^-4)*Constants!$C$4)</f>
        <v>-13.1905423652347</v>
      </c>
    </row>
    <row r="510" spans="1:16" x14ac:dyDescent="0.35">
      <c r="A510" s="28">
        <v>12478</v>
      </c>
      <c r="C510" s="13" t="s">
        <v>183</v>
      </c>
      <c r="D510" t="s">
        <v>15</v>
      </c>
      <c r="E510">
        <v>24.4</v>
      </c>
      <c r="G510">
        <v>13</v>
      </c>
      <c r="H510">
        <f>Table1[[#This Row],[Total electrode weight (mg)]] - IF(ROW()&lt;40, Constants!$B$2 * PI()*(Table1[[#This Row],[Electrode Diameter(mm)]]/(10*2))^2, Constants!$B$4 * PI()*(Table1[[#This Row],[Electrode Diameter(mm)]]/(10*2))^2)</f>
        <v>20.151239409450454</v>
      </c>
      <c r="I510" s="12">
        <f t="shared" si="7"/>
        <v>18.740652650788924</v>
      </c>
      <c r="J510">
        <f>Table1[[#This Row],[Coating weight (mg)]]/Constants!$C$2</f>
        <v>15.907591847937237</v>
      </c>
      <c r="K510">
        <f>(Table1[[#This Row],[Coating weight (mg)]]/1000)/(((Table1[[#This Row],[Electrode Thickness(µm)]]-Constants!$E$4)*10^-4)*Constants!$C$4)</f>
        <v>-13.256326539947695</v>
      </c>
    </row>
    <row r="511" spans="1:16" x14ac:dyDescent="0.35">
      <c r="A511" s="28">
        <v>12479</v>
      </c>
      <c r="C511" s="13" t="s">
        <v>183</v>
      </c>
      <c r="D511" t="s">
        <v>15</v>
      </c>
      <c r="E511">
        <v>24.3</v>
      </c>
      <c r="G511">
        <v>13</v>
      </c>
      <c r="H511">
        <f>Table1[[#This Row],[Total electrode weight (mg)]] - IF(ROW()&lt;40, Constants!$B$2 * PI()*(Table1[[#This Row],[Electrode Diameter(mm)]]/(10*2))^2, Constants!$B$4 * PI()*(Table1[[#This Row],[Electrode Diameter(mm)]]/(10*2))^2)</f>
        <v>20.05123940945046</v>
      </c>
      <c r="I511" s="12">
        <f t="shared" si="7"/>
        <v>18.647652650788928</v>
      </c>
      <c r="J511">
        <f>Table1[[#This Row],[Coating weight (mg)]]/Constants!$C$2</f>
        <v>15.828650838281641</v>
      </c>
      <c r="K511">
        <f>(Table1[[#This Row],[Coating weight (mg)]]/1000)/(((Table1[[#This Row],[Electrode Thickness(µm)]]-Constants!$E$4)*10^-4)*Constants!$C$4)</f>
        <v>-13.1905423652347</v>
      </c>
    </row>
    <row r="512" spans="1:16" x14ac:dyDescent="0.35">
      <c r="A512" s="28">
        <v>12480</v>
      </c>
      <c r="C512" s="13" t="s">
        <v>183</v>
      </c>
      <c r="D512" t="s">
        <v>15</v>
      </c>
      <c r="E512">
        <v>24.3</v>
      </c>
      <c r="G512">
        <v>13</v>
      </c>
      <c r="H512">
        <f>Table1[[#This Row],[Total electrode weight (mg)]] - IF(ROW()&lt;40, Constants!$B$2 * PI()*(Table1[[#This Row],[Electrode Diameter(mm)]]/(10*2))^2, Constants!$B$4 * PI()*(Table1[[#This Row],[Electrode Diameter(mm)]]/(10*2))^2)</f>
        <v>20.05123940945046</v>
      </c>
      <c r="I512" s="12">
        <f t="shared" si="7"/>
        <v>18.647652650788928</v>
      </c>
      <c r="J512">
        <f>Table1[[#This Row],[Coating weight (mg)]]/Constants!$C$2</f>
        <v>15.828650838281641</v>
      </c>
      <c r="K512">
        <f>(Table1[[#This Row],[Coating weight (mg)]]/1000)/(((Table1[[#This Row],[Electrode Thickness(µm)]]-Constants!$E$4)*10^-4)*Constants!$C$4)</f>
        <v>-13.1905423652347</v>
      </c>
    </row>
    <row r="513" spans="1:11" x14ac:dyDescent="0.35">
      <c r="A513" s="28">
        <v>12481</v>
      </c>
      <c r="C513" s="13" t="s">
        <v>184</v>
      </c>
      <c r="D513" t="s">
        <v>15</v>
      </c>
      <c r="E513">
        <v>24.1</v>
      </c>
      <c r="G513">
        <v>13</v>
      </c>
      <c r="H513">
        <f>Table1[[#This Row],[Total electrode weight (mg)]] - IF(ROW()&lt;40, Constants!$B$2 * PI()*(Table1[[#This Row],[Electrode Diameter(mm)]]/(10*2))^2, Constants!$B$4 * PI()*(Table1[[#This Row],[Electrode Diameter(mm)]]/(10*2))^2)</f>
        <v>19.851239409450457</v>
      </c>
      <c r="I513" s="12">
        <f t="shared" si="7"/>
        <v>18.461652650788928</v>
      </c>
      <c r="J513">
        <f>Table1[[#This Row],[Coating weight (mg)]]/Constants!$C$2</f>
        <v>15.670768818970441</v>
      </c>
      <c r="K513">
        <f>(Table1[[#This Row],[Coating weight (mg)]]/1000)/(((Table1[[#This Row],[Electrode Thickness(µm)]]-Constants!$E$4)*10^-4)*Constants!$C$4)</f>
        <v>-13.058974015808698</v>
      </c>
    </row>
    <row r="514" spans="1:11" x14ac:dyDescent="0.35">
      <c r="A514" s="28">
        <v>12482</v>
      </c>
      <c r="C514" s="13" t="s">
        <v>184</v>
      </c>
      <c r="D514" t="s">
        <v>15</v>
      </c>
      <c r="E514">
        <v>24.8</v>
      </c>
      <c r="G514">
        <v>13</v>
      </c>
      <c r="H514">
        <f>Table1[[#This Row],[Total electrode weight (mg)]] - IF(ROW()&lt;40, Constants!$B$2 * PI()*(Table1[[#This Row],[Electrode Diameter(mm)]]/(10*2))^2, Constants!$B$4 * PI()*(Table1[[#This Row],[Electrode Diameter(mm)]]/(10*2))^2)</f>
        <v>20.55123940945046</v>
      </c>
      <c r="I514" s="12">
        <f t="shared" si="7"/>
        <v>19.112652650788927</v>
      </c>
      <c r="J514">
        <f>Table1[[#This Row],[Coating weight (mg)]]/Constants!$C$2</f>
        <v>16.223355886559638</v>
      </c>
      <c r="K514">
        <f>(Table1[[#This Row],[Coating weight (mg)]]/1000)/(((Table1[[#This Row],[Electrode Thickness(µm)]]-Constants!$E$4)*10^-4)*Constants!$C$4)</f>
        <v>-13.519463238799696</v>
      </c>
    </row>
    <row r="515" spans="1:11" x14ac:dyDescent="0.35">
      <c r="A515" s="28">
        <v>12483</v>
      </c>
      <c r="C515" s="13" t="s">
        <v>184</v>
      </c>
      <c r="D515" t="s">
        <v>15</v>
      </c>
      <c r="E515">
        <v>24.1</v>
      </c>
      <c r="G515">
        <v>13</v>
      </c>
      <c r="H515">
        <f>Table1[[#This Row],[Total electrode weight (mg)]] - IF(ROW()&lt;40, Constants!$B$2 * PI()*(Table1[[#This Row],[Electrode Diameter(mm)]]/(10*2))^2, Constants!$B$4 * PI()*(Table1[[#This Row],[Electrode Diameter(mm)]]/(10*2))^2)</f>
        <v>19.851239409450457</v>
      </c>
      <c r="I515" s="12">
        <f t="shared" ref="I515:I578" si="9">IF(D515="", "", IF(D515="RnD", H515*0.85, IF(D515="Production", H515*0.93, "Invalid")))</f>
        <v>18.461652650788928</v>
      </c>
      <c r="J515">
        <f>Table1[[#This Row],[Coating weight (mg)]]/Constants!$C$2</f>
        <v>15.670768818970441</v>
      </c>
      <c r="K515">
        <f>(Table1[[#This Row],[Coating weight (mg)]]/1000)/(((Table1[[#This Row],[Electrode Thickness(µm)]]-Constants!$E$4)*10^-4)*Constants!$C$4)</f>
        <v>-13.058974015808698</v>
      </c>
    </row>
    <row r="516" spans="1:11" x14ac:dyDescent="0.35">
      <c r="A516" s="28">
        <v>12484</v>
      </c>
      <c r="C516" s="13" t="s">
        <v>184</v>
      </c>
      <c r="D516" t="s">
        <v>15</v>
      </c>
      <c r="E516">
        <v>23.5</v>
      </c>
      <c r="G516">
        <v>13</v>
      </c>
      <c r="H516">
        <f>Table1[[#This Row],[Total electrode weight (mg)]] - IF(ROW()&lt;40, Constants!$B$2 * PI()*(Table1[[#This Row],[Electrode Diameter(mm)]]/(10*2))^2, Constants!$B$4 * PI()*(Table1[[#This Row],[Electrode Diameter(mm)]]/(10*2))^2)</f>
        <v>19.251239409450456</v>
      </c>
      <c r="I516" s="12">
        <f t="shared" si="9"/>
        <v>17.903652650788924</v>
      </c>
      <c r="J516">
        <f>Table1[[#This Row],[Coating weight (mg)]]/Constants!$C$2</f>
        <v>15.197122761036843</v>
      </c>
      <c r="K516">
        <f>(Table1[[#This Row],[Coating weight (mg)]]/1000)/(((Table1[[#This Row],[Electrode Thickness(µm)]]-Constants!$E$4)*10^-4)*Constants!$C$4)</f>
        <v>-12.664268967530701</v>
      </c>
    </row>
    <row r="517" spans="1:11" x14ac:dyDescent="0.35">
      <c r="A517" s="28">
        <v>12485</v>
      </c>
      <c r="C517" s="13" t="s">
        <v>184</v>
      </c>
      <c r="D517" t="s">
        <v>15</v>
      </c>
      <c r="E517">
        <v>22.5</v>
      </c>
      <c r="G517">
        <v>13</v>
      </c>
      <c r="H517">
        <f>Table1[[#This Row],[Total electrode weight (mg)]] - IF(ROW()&lt;40, Constants!$B$2 * PI()*(Table1[[#This Row],[Electrode Diameter(mm)]]/(10*2))^2, Constants!$B$4 * PI()*(Table1[[#This Row],[Electrode Diameter(mm)]]/(10*2))^2)</f>
        <v>18.251239409450456</v>
      </c>
      <c r="I517" s="12">
        <f t="shared" si="9"/>
        <v>16.973652650788924</v>
      </c>
      <c r="J517">
        <f>Table1[[#This Row],[Coating weight (mg)]]/Constants!$C$2</f>
        <v>14.407712664480849</v>
      </c>
      <c r="K517">
        <f>(Table1[[#This Row],[Coating weight (mg)]]/1000)/(((Table1[[#This Row],[Electrode Thickness(µm)]]-Constants!$E$4)*10^-4)*Constants!$C$4)</f>
        <v>-12.006427220400704</v>
      </c>
    </row>
    <row r="518" spans="1:11" x14ac:dyDescent="0.35">
      <c r="A518" s="28">
        <v>12470</v>
      </c>
      <c r="C518" s="13" t="s">
        <v>185</v>
      </c>
      <c r="D518" t="s">
        <v>15</v>
      </c>
      <c r="E518">
        <v>23.6</v>
      </c>
      <c r="G518">
        <v>13</v>
      </c>
      <c r="H518">
        <f>Table1[[#This Row],[Total electrode weight (mg)]] - IF(ROW()&lt;40, Constants!$B$2 * PI()*(Table1[[#This Row],[Electrode Diameter(mm)]]/(10*2))^2, Constants!$B$4 * PI()*(Table1[[#This Row],[Electrode Diameter(mm)]]/(10*2))^2)</f>
        <v>19.351239409450457</v>
      </c>
      <c r="I518" s="12">
        <f t="shared" si="9"/>
        <v>17.996652650788928</v>
      </c>
      <c r="J518">
        <f>Table1[[#This Row],[Coating weight (mg)]]/Constants!$C$2</f>
        <v>15.276063770692444</v>
      </c>
      <c r="K518">
        <f>(Table1[[#This Row],[Coating weight (mg)]]/1000)/(((Table1[[#This Row],[Electrode Thickness(µm)]]-Constants!$E$4)*10^-4)*Constants!$C$4)</f>
        <v>-12.730053142243701</v>
      </c>
    </row>
    <row r="519" spans="1:11" x14ac:dyDescent="0.35">
      <c r="A519" s="28">
        <v>12471</v>
      </c>
      <c r="C519" s="13" t="s">
        <v>185</v>
      </c>
      <c r="D519" t="s">
        <v>15</v>
      </c>
      <c r="E519">
        <v>23.8</v>
      </c>
      <c r="G519">
        <v>13</v>
      </c>
      <c r="H519">
        <f>Table1[[#This Row],[Total electrode weight (mg)]] - IF(ROW()&lt;40, Constants!$B$2 * PI()*(Table1[[#This Row],[Electrode Diameter(mm)]]/(10*2))^2, Constants!$B$4 * PI()*(Table1[[#This Row],[Electrode Diameter(mm)]]/(10*2))^2)</f>
        <v>19.55123940945046</v>
      </c>
      <c r="I519" s="12">
        <f t="shared" si="9"/>
        <v>18.182652650788928</v>
      </c>
      <c r="J519">
        <f>Table1[[#This Row],[Coating weight (mg)]]/Constants!$C$2</f>
        <v>15.433945790003644</v>
      </c>
      <c r="K519">
        <f>(Table1[[#This Row],[Coating weight (mg)]]/1000)/(((Table1[[#This Row],[Electrode Thickness(µm)]]-Constants!$E$4)*10^-4)*Constants!$C$4)</f>
        <v>-12.861621491669702</v>
      </c>
    </row>
    <row r="520" spans="1:11" x14ac:dyDescent="0.35">
      <c r="A520" s="28">
        <v>12472</v>
      </c>
      <c r="C520" s="13" t="s">
        <v>185</v>
      </c>
      <c r="D520" t="s">
        <v>15</v>
      </c>
      <c r="E520">
        <v>22.6</v>
      </c>
      <c r="G520">
        <v>13</v>
      </c>
      <c r="H520">
        <f>Table1[[#This Row],[Total electrode weight (mg)]] - IF(ROW()&lt;40, Constants!$B$2 * PI()*(Table1[[#This Row],[Electrode Diameter(mm)]]/(10*2))^2, Constants!$B$4 * PI()*(Table1[[#This Row],[Electrode Diameter(mm)]]/(10*2))^2)</f>
        <v>18.351239409450457</v>
      </c>
      <c r="I520" s="12">
        <f t="shared" si="9"/>
        <v>17.066652650788924</v>
      </c>
      <c r="J520">
        <f>Table1[[#This Row],[Coating weight (mg)]]/Constants!$C$2</f>
        <v>14.486653674136448</v>
      </c>
      <c r="K520">
        <f>(Table1[[#This Row],[Coating weight (mg)]]/1000)/(((Table1[[#This Row],[Electrode Thickness(µm)]]-Constants!$E$4)*10^-4)*Constants!$C$4)</f>
        <v>-12.072211395113706</v>
      </c>
    </row>
    <row r="521" spans="1:11" x14ac:dyDescent="0.35">
      <c r="A521" s="28">
        <v>12473</v>
      </c>
      <c r="C521" s="13" t="s">
        <v>185</v>
      </c>
      <c r="D521" t="s">
        <v>15</v>
      </c>
      <c r="E521">
        <v>23.9</v>
      </c>
      <c r="G521">
        <v>13</v>
      </c>
      <c r="H521">
        <f>Table1[[#This Row],[Total electrode weight (mg)]] - IF(ROW()&lt;40, Constants!$B$2 * PI()*(Table1[[#This Row],[Electrode Diameter(mm)]]/(10*2))^2, Constants!$B$4 * PI()*(Table1[[#This Row],[Electrode Diameter(mm)]]/(10*2))^2)</f>
        <v>19.651239409450454</v>
      </c>
      <c r="I521" s="12">
        <f t="shared" si="9"/>
        <v>18.275652650788924</v>
      </c>
      <c r="J521">
        <f>Table1[[#This Row],[Coating weight (mg)]]/Constants!$C$2</f>
        <v>15.512886799659238</v>
      </c>
      <c r="K521">
        <f>(Table1[[#This Row],[Coating weight (mg)]]/1000)/(((Table1[[#This Row],[Electrode Thickness(µm)]]-Constants!$E$4)*10^-4)*Constants!$C$4)</f>
        <v>-12.927405666382697</v>
      </c>
    </row>
    <row r="522" spans="1:11" x14ac:dyDescent="0.35">
      <c r="A522" s="28">
        <v>12474</v>
      </c>
      <c r="C522" s="13" t="s">
        <v>185</v>
      </c>
      <c r="D522" t="s">
        <v>15</v>
      </c>
      <c r="E522">
        <v>22.9</v>
      </c>
      <c r="G522">
        <v>13</v>
      </c>
      <c r="H522">
        <f>Table1[[#This Row],[Total electrode weight (mg)]] - IF(ROW()&lt;40, Constants!$B$2 * PI()*(Table1[[#This Row],[Electrode Diameter(mm)]]/(10*2))^2, Constants!$B$4 * PI()*(Table1[[#This Row],[Electrode Diameter(mm)]]/(10*2))^2)</f>
        <v>18.651239409450454</v>
      </c>
      <c r="I522" s="12">
        <f t="shared" si="9"/>
        <v>17.345652650788924</v>
      </c>
      <c r="J522">
        <f>Table1[[#This Row],[Coating weight (mg)]]/Constants!$C$2</f>
        <v>14.723476703103245</v>
      </c>
      <c r="K522">
        <f>(Table1[[#This Row],[Coating weight (mg)]]/1000)/(((Table1[[#This Row],[Electrode Thickness(µm)]]-Constants!$E$4)*10^-4)*Constants!$C$4)</f>
        <v>-12.269563919252702</v>
      </c>
    </row>
    <row r="523" spans="1:11" x14ac:dyDescent="0.35">
      <c r="A523" s="28">
        <v>12502</v>
      </c>
      <c r="C523" s="13" t="s">
        <v>186</v>
      </c>
      <c r="D523" t="s">
        <v>15</v>
      </c>
      <c r="E523">
        <v>23.3</v>
      </c>
      <c r="G523">
        <v>13</v>
      </c>
      <c r="H523">
        <f>Table1[[#This Row],[Total electrode weight (mg)]] - IF(ROW()&lt;40, Constants!$B$2 * PI()*(Table1[[#This Row],[Electrode Diameter(mm)]]/(10*2))^2, Constants!$B$4 * PI()*(Table1[[#This Row],[Electrode Diameter(mm)]]/(10*2))^2)</f>
        <v>19.05123940945046</v>
      </c>
      <c r="I523" s="12">
        <f t="shared" si="9"/>
        <v>17.717652650788928</v>
      </c>
      <c r="J523">
        <f>Table1[[#This Row],[Coating weight (mg)]]/Constants!$C$2</f>
        <v>15.039240741725648</v>
      </c>
      <c r="K523">
        <f>(Table1[[#This Row],[Coating weight (mg)]]/1000)/(((Table1[[#This Row],[Electrode Thickness(µm)]]-Constants!$E$4)*10^-4)*Constants!$C$4)</f>
        <v>-12.532700618104705</v>
      </c>
    </row>
    <row r="524" spans="1:11" x14ac:dyDescent="0.35">
      <c r="A524" s="28">
        <v>12503</v>
      </c>
      <c r="C524" s="13" t="s">
        <v>186</v>
      </c>
      <c r="D524" t="s">
        <v>15</v>
      </c>
      <c r="E524">
        <v>21.8</v>
      </c>
      <c r="G524">
        <v>13</v>
      </c>
      <c r="H524">
        <f>Table1[[#This Row],[Total electrode weight (mg)]] - IF(ROW()&lt;40, Constants!$B$2 * PI()*(Table1[[#This Row],[Electrode Diameter(mm)]]/(10*2))^2, Constants!$B$4 * PI()*(Table1[[#This Row],[Electrode Diameter(mm)]]/(10*2))^2)</f>
        <v>17.55123940945046</v>
      </c>
      <c r="I524" s="12">
        <f t="shared" si="9"/>
        <v>16.322652650788928</v>
      </c>
      <c r="J524">
        <f>Table1[[#This Row],[Coating weight (mg)]]/Constants!$C$2</f>
        <v>13.855125596891655</v>
      </c>
      <c r="K524">
        <f>(Table1[[#This Row],[Coating weight (mg)]]/1000)/(((Table1[[#This Row],[Electrode Thickness(µm)]]-Constants!$E$4)*10^-4)*Constants!$C$4)</f>
        <v>-11.545937997409711</v>
      </c>
    </row>
    <row r="525" spans="1:11" x14ac:dyDescent="0.35">
      <c r="A525" s="28">
        <v>12504</v>
      </c>
      <c r="C525" s="13" t="s">
        <v>186</v>
      </c>
      <c r="D525" t="s">
        <v>15</v>
      </c>
      <c r="E525">
        <v>21.8</v>
      </c>
      <c r="G525">
        <v>13</v>
      </c>
      <c r="H525">
        <f>Table1[[#This Row],[Total electrode weight (mg)]] - IF(ROW()&lt;40, Constants!$B$2 * PI()*(Table1[[#This Row],[Electrode Diameter(mm)]]/(10*2))^2, Constants!$B$4 * PI()*(Table1[[#This Row],[Electrode Diameter(mm)]]/(10*2))^2)</f>
        <v>17.55123940945046</v>
      </c>
      <c r="I525" s="12">
        <f t="shared" si="9"/>
        <v>16.322652650788928</v>
      </c>
      <c r="J525">
        <f>Table1[[#This Row],[Coating weight (mg)]]/Constants!$C$2</f>
        <v>13.855125596891655</v>
      </c>
      <c r="K525">
        <f>(Table1[[#This Row],[Coating weight (mg)]]/1000)/(((Table1[[#This Row],[Electrode Thickness(µm)]]-Constants!$E$4)*10^-4)*Constants!$C$4)</f>
        <v>-11.545937997409711</v>
      </c>
    </row>
    <row r="526" spans="1:11" x14ac:dyDescent="0.35">
      <c r="A526" s="28">
        <v>12505</v>
      </c>
      <c r="C526" s="13" t="s">
        <v>186</v>
      </c>
      <c r="D526" t="s">
        <v>15</v>
      </c>
      <c r="E526">
        <v>22.4</v>
      </c>
      <c r="G526">
        <v>13</v>
      </c>
      <c r="H526">
        <f>Table1[[#This Row],[Total electrode weight (mg)]] - IF(ROW()&lt;40, Constants!$B$2 * PI()*(Table1[[#This Row],[Electrode Diameter(mm)]]/(10*2))^2, Constants!$B$4 * PI()*(Table1[[#This Row],[Electrode Diameter(mm)]]/(10*2))^2)</f>
        <v>18.151239409450454</v>
      </c>
      <c r="I526" s="12">
        <f t="shared" si="9"/>
        <v>16.880652650788925</v>
      </c>
      <c r="J526">
        <f>Table1[[#This Row],[Coating weight (mg)]]/Constants!$C$2</f>
        <v>14.328771654825248</v>
      </c>
      <c r="K526">
        <f>(Table1[[#This Row],[Coating weight (mg)]]/1000)/(((Table1[[#This Row],[Electrode Thickness(µm)]]-Constants!$E$4)*10^-4)*Constants!$C$4)</f>
        <v>-11.940643045687706</v>
      </c>
    </row>
    <row r="527" spans="1:11" x14ac:dyDescent="0.35">
      <c r="A527" s="28">
        <v>12506</v>
      </c>
      <c r="C527" s="13" t="s">
        <v>186</v>
      </c>
      <c r="D527" t="s">
        <v>15</v>
      </c>
      <c r="E527">
        <v>21.8</v>
      </c>
      <c r="G527">
        <v>13</v>
      </c>
      <c r="H527">
        <f>Table1[[#This Row],[Total electrode weight (mg)]] - IF(ROW()&lt;40, Constants!$B$2 * PI()*(Table1[[#This Row],[Electrode Diameter(mm)]]/(10*2))^2, Constants!$B$4 * PI()*(Table1[[#This Row],[Electrode Diameter(mm)]]/(10*2))^2)</f>
        <v>17.55123940945046</v>
      </c>
      <c r="I527" s="12">
        <f t="shared" si="9"/>
        <v>16.322652650788928</v>
      </c>
      <c r="J527">
        <f>Table1[[#This Row],[Coating weight (mg)]]/Constants!$C$2</f>
        <v>13.855125596891655</v>
      </c>
      <c r="K527">
        <f>(Table1[[#This Row],[Coating weight (mg)]]/1000)/(((Table1[[#This Row],[Electrode Thickness(µm)]]-Constants!$E$4)*10^-4)*Constants!$C$4)</f>
        <v>-11.545937997409711</v>
      </c>
    </row>
    <row r="528" spans="1:11" x14ac:dyDescent="0.35">
      <c r="A528" s="28">
        <v>12638</v>
      </c>
      <c r="C528" s="13" t="s">
        <v>187</v>
      </c>
      <c r="D528" t="s">
        <v>15</v>
      </c>
      <c r="E528">
        <v>14.4</v>
      </c>
      <c r="G528">
        <v>13</v>
      </c>
      <c r="H528">
        <f>Table1[[#This Row],[Total electrode weight (mg)]] - IF(ROW()&lt;40, Constants!$B$2 * PI()*(Table1[[#This Row],[Electrode Diameter(mm)]]/(10*2))^2, Constants!$B$4 * PI()*(Table1[[#This Row],[Electrode Diameter(mm)]]/(10*2))^2)</f>
        <v>10.151239409450458</v>
      </c>
      <c r="I528" s="12">
        <f t="shared" si="9"/>
        <v>9.4406526507889268</v>
      </c>
      <c r="J528">
        <f>Table1[[#This Row],[Coating weight (mg)]]/Constants!$C$2</f>
        <v>8.0134908823772975</v>
      </c>
      <c r="K528">
        <f>(Table1[[#This Row],[Coating weight (mg)]]/1000)/(((Table1[[#This Row],[Electrode Thickness(µm)]]-Constants!$E$4)*10^-4)*Constants!$C$4)</f>
        <v>-6.6779090686477476</v>
      </c>
    </row>
    <row r="529" spans="1:11" x14ac:dyDescent="0.35">
      <c r="A529" s="28">
        <v>12639</v>
      </c>
      <c r="C529" s="13" t="s">
        <v>187</v>
      </c>
      <c r="D529" t="s">
        <v>15</v>
      </c>
      <c r="E529">
        <v>14.3</v>
      </c>
      <c r="G529">
        <v>13</v>
      </c>
      <c r="H529">
        <f>Table1[[#This Row],[Total electrode weight (mg)]] - IF(ROW()&lt;40, Constants!$B$2 * PI()*(Table1[[#This Row],[Electrode Diameter(mm)]]/(10*2))^2, Constants!$B$4 * PI()*(Table1[[#This Row],[Electrode Diameter(mm)]]/(10*2))^2)</f>
        <v>10.051239409450458</v>
      </c>
      <c r="I529" s="12">
        <f t="shared" si="9"/>
        <v>9.3476526507889268</v>
      </c>
      <c r="J529">
        <f>Table1[[#This Row],[Coating weight (mg)]]/Constants!$C$2</f>
        <v>7.934549872721699</v>
      </c>
      <c r="K529">
        <f>(Table1[[#This Row],[Coating weight (mg)]]/1000)/(((Table1[[#This Row],[Electrode Thickness(µm)]]-Constants!$E$4)*10^-4)*Constants!$C$4)</f>
        <v>-6.6121248939347481</v>
      </c>
    </row>
    <row r="530" spans="1:11" x14ac:dyDescent="0.35">
      <c r="A530" s="28">
        <v>12640</v>
      </c>
      <c r="C530" s="13" t="s">
        <v>187</v>
      </c>
      <c r="D530" t="s">
        <v>15</v>
      </c>
      <c r="E530">
        <v>13.6</v>
      </c>
      <c r="G530">
        <v>13</v>
      </c>
      <c r="H530">
        <f>Table1[[#This Row],[Total electrode weight (mg)]] - IF(ROW()&lt;40, Constants!$B$2 * PI()*(Table1[[#This Row],[Electrode Diameter(mm)]]/(10*2))^2, Constants!$B$4 * PI()*(Table1[[#This Row],[Electrode Diameter(mm)]]/(10*2))^2)</f>
        <v>9.3512394094504572</v>
      </c>
      <c r="I530" s="12">
        <f t="shared" si="9"/>
        <v>8.6966526507889252</v>
      </c>
      <c r="J530">
        <f>Table1[[#This Row],[Coating weight (mg)]]/Constants!$C$2</f>
        <v>7.3819628051325026</v>
      </c>
      <c r="K530">
        <f>(Table1[[#This Row],[Coating weight (mg)]]/1000)/(((Table1[[#This Row],[Electrode Thickness(µm)]]-Constants!$E$4)*10^-4)*Constants!$C$4)</f>
        <v>-6.151635670943751</v>
      </c>
    </row>
    <row r="531" spans="1:11" x14ac:dyDescent="0.35">
      <c r="A531" s="28">
        <v>12641</v>
      </c>
      <c r="C531" s="13" t="s">
        <v>187</v>
      </c>
      <c r="D531" t="s">
        <v>15</v>
      </c>
      <c r="E531">
        <v>13.8</v>
      </c>
      <c r="G531">
        <v>13</v>
      </c>
      <c r="H531">
        <f>Table1[[#This Row],[Total electrode weight (mg)]] - IF(ROW()&lt;40, Constants!$B$2 * PI()*(Table1[[#This Row],[Electrode Diameter(mm)]]/(10*2))^2, Constants!$B$4 * PI()*(Table1[[#This Row],[Electrode Diameter(mm)]]/(10*2))^2)</f>
        <v>9.5512394094504582</v>
      </c>
      <c r="I531" s="12">
        <f t="shared" si="9"/>
        <v>8.882652650788927</v>
      </c>
      <c r="J531">
        <f>Table1[[#This Row],[Coating weight (mg)]]/Constants!$C$2</f>
        <v>7.5398448244437022</v>
      </c>
      <c r="K531">
        <f>(Table1[[#This Row],[Coating weight (mg)]]/1000)/(((Table1[[#This Row],[Electrode Thickness(µm)]]-Constants!$E$4)*10^-4)*Constants!$C$4)</f>
        <v>-6.2832040203697499</v>
      </c>
    </row>
    <row r="532" spans="1:11" x14ac:dyDescent="0.35">
      <c r="A532" s="28">
        <v>12642</v>
      </c>
      <c r="C532" s="13" t="s">
        <v>187</v>
      </c>
      <c r="D532" t="s">
        <v>15</v>
      </c>
      <c r="E532">
        <v>14.1</v>
      </c>
      <c r="G532">
        <v>13</v>
      </c>
      <c r="H532">
        <f>Table1[[#This Row],[Total electrode weight (mg)]] - IF(ROW()&lt;40, Constants!$B$2 * PI()*(Table1[[#This Row],[Electrode Diameter(mm)]]/(10*2))^2, Constants!$B$4 * PI()*(Table1[[#This Row],[Electrode Diameter(mm)]]/(10*2))^2)</f>
        <v>9.8512394094504572</v>
      </c>
      <c r="I532" s="12">
        <f t="shared" si="9"/>
        <v>9.1616526507889251</v>
      </c>
      <c r="J532">
        <f>Table1[[#This Row],[Coating weight (mg)]]/Constants!$C$2</f>
        <v>7.7766678534104994</v>
      </c>
      <c r="K532">
        <f>(Table1[[#This Row],[Coating weight (mg)]]/1000)/(((Table1[[#This Row],[Electrode Thickness(µm)]]-Constants!$E$4)*10^-4)*Constants!$C$4)</f>
        <v>-6.4805565445087492</v>
      </c>
    </row>
    <row r="533" spans="1:11" x14ac:dyDescent="0.35">
      <c r="A533" s="28">
        <v>12643</v>
      </c>
      <c r="C533" s="13" t="s">
        <v>188</v>
      </c>
      <c r="D533" t="s">
        <v>15</v>
      </c>
      <c r="E533">
        <v>22.9</v>
      </c>
      <c r="G533">
        <v>13</v>
      </c>
      <c r="H533">
        <f>Table1[[#This Row],[Total electrode weight (mg)]] - IF(ROW()&lt;40, Constants!$B$2 * PI()*(Table1[[#This Row],[Electrode Diameter(mm)]]/(10*2))^2, Constants!$B$4 * PI()*(Table1[[#This Row],[Electrode Diameter(mm)]]/(10*2))^2)</f>
        <v>18.651239409450454</v>
      </c>
      <c r="I533" s="12">
        <f t="shared" si="9"/>
        <v>17.345652650788924</v>
      </c>
      <c r="J533">
        <f>Table1[[#This Row],[Coating weight (mg)]]/Constants!$C$2</f>
        <v>14.723476703103245</v>
      </c>
      <c r="K533">
        <f>(Table1[[#This Row],[Coating weight (mg)]]/1000)/(((Table1[[#This Row],[Electrode Thickness(µm)]]-Constants!$E$4)*10^-4)*Constants!$C$4)</f>
        <v>-12.269563919252702</v>
      </c>
    </row>
    <row r="534" spans="1:11" x14ac:dyDescent="0.35">
      <c r="A534" s="28">
        <v>12644</v>
      </c>
      <c r="C534" s="13" t="s">
        <v>188</v>
      </c>
      <c r="D534" t="s">
        <v>15</v>
      </c>
      <c r="E534">
        <v>23.01</v>
      </c>
      <c r="G534">
        <v>13</v>
      </c>
      <c r="H534">
        <f>Table1[[#This Row],[Total electrode weight (mg)]] - IF(ROW()&lt;40, Constants!$B$2 * PI()*(Table1[[#This Row],[Electrode Diameter(mm)]]/(10*2))^2, Constants!$B$4 * PI()*(Table1[[#This Row],[Electrode Diameter(mm)]]/(10*2))^2)</f>
        <v>18.761239409450461</v>
      </c>
      <c r="I534" s="12">
        <f t="shared" si="9"/>
        <v>17.447952650788931</v>
      </c>
      <c r="J534">
        <f>Table1[[#This Row],[Coating weight (mg)]]/Constants!$C$2</f>
        <v>14.810311813724409</v>
      </c>
      <c r="K534">
        <f>(Table1[[#This Row],[Coating weight (mg)]]/1000)/(((Table1[[#This Row],[Electrode Thickness(µm)]]-Constants!$E$4)*10^-4)*Constants!$C$4)</f>
        <v>-12.341926511437007</v>
      </c>
    </row>
    <row r="535" spans="1:11" x14ac:dyDescent="0.35">
      <c r="A535" s="28">
        <v>12645</v>
      </c>
      <c r="C535" s="13" t="s">
        <v>188</v>
      </c>
      <c r="D535" t="s">
        <v>15</v>
      </c>
      <c r="E535">
        <v>24.9</v>
      </c>
      <c r="G535">
        <v>13</v>
      </c>
      <c r="H535">
        <f>Table1[[#This Row],[Total electrode weight (mg)]] - IF(ROW()&lt;40, Constants!$B$2 * PI()*(Table1[[#This Row],[Electrode Diameter(mm)]]/(10*2))^2, Constants!$B$4 * PI()*(Table1[[#This Row],[Electrode Diameter(mm)]]/(10*2))^2)</f>
        <v>20.651239409450454</v>
      </c>
      <c r="I535" s="12">
        <f t="shared" si="9"/>
        <v>19.205652650788924</v>
      </c>
      <c r="J535">
        <f>Table1[[#This Row],[Coating weight (mg)]]/Constants!$C$2</f>
        <v>16.302296896215232</v>
      </c>
      <c r="K535">
        <f>(Table1[[#This Row],[Coating weight (mg)]]/1000)/(((Table1[[#This Row],[Electrode Thickness(µm)]]-Constants!$E$4)*10^-4)*Constants!$C$4)</f>
        <v>-13.585247413512693</v>
      </c>
    </row>
    <row r="536" spans="1:11" x14ac:dyDescent="0.35">
      <c r="A536" s="28">
        <v>12546</v>
      </c>
      <c r="C536" s="13" t="s">
        <v>189</v>
      </c>
      <c r="D536" t="s">
        <v>15</v>
      </c>
      <c r="E536">
        <v>22.9</v>
      </c>
      <c r="G536">
        <v>13</v>
      </c>
      <c r="H536">
        <f>Table1[[#This Row],[Total electrode weight (mg)]] - IF(ROW()&lt;40, Constants!$B$2 * PI()*(Table1[[#This Row],[Electrode Diameter(mm)]]/(10*2))^2, Constants!$B$4 * PI()*(Table1[[#This Row],[Electrode Diameter(mm)]]/(10*2))^2)</f>
        <v>18.651239409450454</v>
      </c>
      <c r="I536" s="12">
        <f t="shared" si="9"/>
        <v>17.345652650788924</v>
      </c>
      <c r="J536">
        <f>Table1[[#This Row],[Coating weight (mg)]]/Constants!$C$2</f>
        <v>14.723476703103245</v>
      </c>
      <c r="K536">
        <f>(Table1[[#This Row],[Coating weight (mg)]]/1000)/(((Table1[[#This Row],[Electrode Thickness(µm)]]-Constants!$E$4)*10^-4)*Constants!$C$4)</f>
        <v>-12.269563919252702</v>
      </c>
    </row>
    <row r="537" spans="1:11" x14ac:dyDescent="0.35">
      <c r="A537" s="28">
        <v>12647</v>
      </c>
      <c r="C537" s="13" t="s">
        <v>189</v>
      </c>
      <c r="D537" t="s">
        <v>15</v>
      </c>
      <c r="E537">
        <v>21.8</v>
      </c>
      <c r="G537">
        <v>13</v>
      </c>
      <c r="H537">
        <f>Table1[[#This Row],[Total electrode weight (mg)]] - IF(ROW()&lt;40, Constants!$B$2 * PI()*(Table1[[#This Row],[Electrode Diameter(mm)]]/(10*2))^2, Constants!$B$4 * PI()*(Table1[[#This Row],[Electrode Diameter(mm)]]/(10*2))^2)</f>
        <v>17.55123940945046</v>
      </c>
      <c r="I537" s="12">
        <f t="shared" si="9"/>
        <v>16.322652650788928</v>
      </c>
      <c r="J537">
        <f>Table1[[#This Row],[Coating weight (mg)]]/Constants!$C$2</f>
        <v>13.855125596891655</v>
      </c>
      <c r="K537">
        <f>(Table1[[#This Row],[Coating weight (mg)]]/1000)/(((Table1[[#This Row],[Electrode Thickness(µm)]]-Constants!$E$4)*10^-4)*Constants!$C$4)</f>
        <v>-11.545937997409711</v>
      </c>
    </row>
    <row r="538" spans="1:11" x14ac:dyDescent="0.35">
      <c r="A538" s="28">
        <v>12648</v>
      </c>
      <c r="C538" s="13" t="s">
        <v>189</v>
      </c>
      <c r="D538" t="s">
        <v>15</v>
      </c>
      <c r="E538">
        <v>22.9</v>
      </c>
      <c r="G538">
        <v>13</v>
      </c>
      <c r="H538">
        <f>Table1[[#This Row],[Total electrode weight (mg)]] - IF(ROW()&lt;40, Constants!$B$2 * PI()*(Table1[[#This Row],[Electrode Diameter(mm)]]/(10*2))^2, Constants!$B$4 * PI()*(Table1[[#This Row],[Electrode Diameter(mm)]]/(10*2))^2)</f>
        <v>18.651239409450454</v>
      </c>
      <c r="I538" s="12">
        <f t="shared" si="9"/>
        <v>17.345652650788924</v>
      </c>
      <c r="J538">
        <f>Table1[[#This Row],[Coating weight (mg)]]/Constants!$C$2</f>
        <v>14.723476703103245</v>
      </c>
      <c r="K538">
        <f>(Table1[[#This Row],[Coating weight (mg)]]/1000)/(((Table1[[#This Row],[Electrode Thickness(µm)]]-Constants!$E$4)*10^-4)*Constants!$C$4)</f>
        <v>-12.269563919252702</v>
      </c>
    </row>
    <row r="539" spans="1:11" x14ac:dyDescent="0.35">
      <c r="A539" s="28">
        <v>12649</v>
      </c>
      <c r="C539" s="13" t="s">
        <v>190</v>
      </c>
      <c r="D539" t="s">
        <v>15</v>
      </c>
      <c r="E539">
        <v>26.7</v>
      </c>
      <c r="G539">
        <v>13</v>
      </c>
      <c r="H539">
        <f>Table1[[#This Row],[Total electrode weight (mg)]] - IF(ROW()&lt;40, Constants!$B$2 * PI()*(Table1[[#This Row],[Electrode Diameter(mm)]]/(10*2))^2, Constants!$B$4 * PI()*(Table1[[#This Row],[Electrode Diameter(mm)]]/(10*2))^2)</f>
        <v>22.451239409450459</v>
      </c>
      <c r="I539" s="12">
        <f t="shared" si="9"/>
        <v>20.879652650788927</v>
      </c>
      <c r="J539">
        <f>Table1[[#This Row],[Coating weight (mg)]]/Constants!$C$2</f>
        <v>17.723235070016027</v>
      </c>
      <c r="K539">
        <f>(Table1[[#This Row],[Coating weight (mg)]]/1000)/(((Table1[[#This Row],[Electrode Thickness(µm)]]-Constants!$E$4)*10^-4)*Constants!$C$4)</f>
        <v>-14.769362558346685</v>
      </c>
    </row>
    <row r="540" spans="1:11" x14ac:dyDescent="0.35">
      <c r="A540" s="28">
        <v>12650</v>
      </c>
      <c r="C540" s="13" t="s">
        <v>190</v>
      </c>
      <c r="D540" t="s">
        <v>15</v>
      </c>
      <c r="E540">
        <v>26.4</v>
      </c>
      <c r="G540">
        <v>13</v>
      </c>
      <c r="H540">
        <f>Table1[[#This Row],[Total electrode weight (mg)]] - IF(ROW()&lt;40, Constants!$B$2 * PI()*(Table1[[#This Row],[Electrode Diameter(mm)]]/(10*2))^2, Constants!$B$4 * PI()*(Table1[[#This Row],[Electrode Diameter(mm)]]/(10*2))^2)</f>
        <v>22.151239409450454</v>
      </c>
      <c r="I540" s="12">
        <f t="shared" si="9"/>
        <v>20.600652650788923</v>
      </c>
      <c r="J540">
        <f>Table1[[#This Row],[Coating weight (mg)]]/Constants!$C$2</f>
        <v>17.486412041049224</v>
      </c>
      <c r="K540">
        <f>(Table1[[#This Row],[Coating weight (mg)]]/1000)/(((Table1[[#This Row],[Electrode Thickness(µm)]]-Constants!$E$4)*10^-4)*Constants!$C$4)</f>
        <v>-14.572010034207686</v>
      </c>
    </row>
    <row r="541" spans="1:11" x14ac:dyDescent="0.35">
      <c r="A541" s="28">
        <v>12651</v>
      </c>
      <c r="C541" s="13" t="s">
        <v>190</v>
      </c>
      <c r="D541" t="s">
        <v>15</v>
      </c>
      <c r="E541">
        <v>27.6</v>
      </c>
      <c r="G541">
        <v>13</v>
      </c>
      <c r="H541">
        <f>Table1[[#This Row],[Total electrode weight (mg)]] - IF(ROW()&lt;40, Constants!$B$2 * PI()*(Table1[[#This Row],[Electrode Diameter(mm)]]/(10*2))^2, Constants!$B$4 * PI()*(Table1[[#This Row],[Electrode Diameter(mm)]]/(10*2))^2)</f>
        <v>23.351239409450457</v>
      </c>
      <c r="I541" s="12">
        <f t="shared" si="9"/>
        <v>21.716652650788927</v>
      </c>
      <c r="J541">
        <f>Table1[[#This Row],[Coating weight (mg)]]/Constants!$C$2</f>
        <v>18.43370415691642</v>
      </c>
      <c r="K541">
        <f>(Table1[[#This Row],[Coating weight (mg)]]/1000)/(((Table1[[#This Row],[Electrode Thickness(µm)]]-Constants!$E$4)*10^-4)*Constants!$C$4)</f>
        <v>-15.36142013076368</v>
      </c>
    </row>
    <row r="542" spans="1:11" x14ac:dyDescent="0.35">
      <c r="A542" s="28">
        <v>12652</v>
      </c>
      <c r="C542" s="13" t="s">
        <v>190</v>
      </c>
      <c r="D542" t="s">
        <v>15</v>
      </c>
      <c r="E542">
        <v>26.8</v>
      </c>
      <c r="G542">
        <v>13</v>
      </c>
      <c r="H542">
        <f>Table1[[#This Row],[Total electrode weight (mg)]] - IF(ROW()&lt;40, Constants!$B$2 * PI()*(Table1[[#This Row],[Electrode Diameter(mm)]]/(10*2))^2, Constants!$B$4 * PI()*(Table1[[#This Row],[Electrode Diameter(mm)]]/(10*2))^2)</f>
        <v>22.55123940945046</v>
      </c>
      <c r="I542" s="12">
        <f t="shared" si="9"/>
        <v>20.97265265078893</v>
      </c>
      <c r="J542">
        <f>Table1[[#This Row],[Coating weight (mg)]]/Constants!$C$2</f>
        <v>17.802176079671625</v>
      </c>
      <c r="K542">
        <f>(Table1[[#This Row],[Coating weight (mg)]]/1000)/(((Table1[[#This Row],[Electrode Thickness(µm)]]-Constants!$E$4)*10^-4)*Constants!$C$4)</f>
        <v>-14.835146733059688</v>
      </c>
    </row>
    <row r="543" spans="1:11" x14ac:dyDescent="0.35">
      <c r="A543" s="28">
        <v>12653</v>
      </c>
      <c r="C543" s="13" t="s">
        <v>190</v>
      </c>
      <c r="D543" t="s">
        <v>15</v>
      </c>
      <c r="E543">
        <v>25.6</v>
      </c>
      <c r="G543">
        <v>13</v>
      </c>
      <c r="H543">
        <f>Table1[[#This Row],[Total electrode weight (mg)]] - IF(ROW()&lt;40, Constants!$B$2 * PI()*(Table1[[#This Row],[Electrode Diameter(mm)]]/(10*2))^2, Constants!$B$4 * PI()*(Table1[[#This Row],[Electrode Diameter(mm)]]/(10*2))^2)</f>
        <v>21.351239409450457</v>
      </c>
      <c r="I543" s="12">
        <f t="shared" si="9"/>
        <v>19.856652650788927</v>
      </c>
      <c r="J543">
        <f>Table1[[#This Row],[Coating weight (mg)]]/Constants!$C$2</f>
        <v>16.854883963804433</v>
      </c>
      <c r="K543">
        <f>(Table1[[#This Row],[Coating weight (mg)]]/1000)/(((Table1[[#This Row],[Electrode Thickness(µm)]]-Constants!$E$4)*10^-4)*Constants!$C$4)</f>
        <v>-14.04573663650369</v>
      </c>
    </row>
    <row r="544" spans="1:11" x14ac:dyDescent="0.35">
      <c r="A544" s="28">
        <v>12544</v>
      </c>
      <c r="C544" s="13" t="s">
        <v>189</v>
      </c>
      <c r="D544" t="s">
        <v>15</v>
      </c>
      <c r="E544">
        <v>21.5</v>
      </c>
      <c r="G544">
        <v>13</v>
      </c>
      <c r="H544">
        <f>Table1[[#This Row],[Total electrode weight (mg)]] - IF(ROW()&lt;40, Constants!$B$2 * PI()*(Table1[[#This Row],[Electrode Diameter(mm)]]/(10*2))^2, Constants!$B$4 * PI()*(Table1[[#This Row],[Electrode Diameter(mm)]]/(10*2))^2)</f>
        <v>17.251239409450456</v>
      </c>
      <c r="I544" s="12">
        <f t="shared" si="9"/>
        <v>16.043652650788925</v>
      </c>
      <c r="J544">
        <f>Table1[[#This Row],[Coating weight (mg)]]/Constants!$C$2</f>
        <v>13.618302567924854</v>
      </c>
      <c r="K544">
        <f>(Table1[[#This Row],[Coating weight (mg)]]/1000)/(((Table1[[#This Row],[Electrode Thickness(µm)]]-Constants!$E$4)*10^-4)*Constants!$C$4)</f>
        <v>-11.34858547327071</v>
      </c>
    </row>
    <row r="545" spans="1:11" x14ac:dyDescent="0.35">
      <c r="A545" s="28">
        <v>12655</v>
      </c>
      <c r="C545" s="13" t="s">
        <v>189</v>
      </c>
      <c r="D545" t="s">
        <v>15</v>
      </c>
      <c r="E545">
        <v>22</v>
      </c>
      <c r="G545">
        <v>13</v>
      </c>
      <c r="H545">
        <f>Table1[[#This Row],[Total electrode weight (mg)]] - IF(ROW()&lt;40, Constants!$B$2 * PI()*(Table1[[#This Row],[Electrode Diameter(mm)]]/(10*2))^2, Constants!$B$4 * PI()*(Table1[[#This Row],[Electrode Diameter(mm)]]/(10*2))^2)</f>
        <v>17.751239409450456</v>
      </c>
      <c r="I545" s="12">
        <f t="shared" si="9"/>
        <v>16.508652650788925</v>
      </c>
      <c r="J545">
        <f>Table1[[#This Row],[Coating weight (mg)]]/Constants!$C$2</f>
        <v>14.013007616202852</v>
      </c>
      <c r="K545">
        <f>(Table1[[#This Row],[Coating weight (mg)]]/1000)/(((Table1[[#This Row],[Electrode Thickness(µm)]]-Constants!$E$4)*10^-4)*Constants!$C$4)</f>
        <v>-11.677506346835708</v>
      </c>
    </row>
    <row r="546" spans="1:11" x14ac:dyDescent="0.35">
      <c r="A546" s="28">
        <v>12546</v>
      </c>
      <c r="C546" s="13" t="s">
        <v>187</v>
      </c>
      <c r="D546" t="s">
        <v>15</v>
      </c>
      <c r="E546">
        <v>13.6</v>
      </c>
      <c r="G546">
        <v>13</v>
      </c>
      <c r="H546">
        <f>Table1[[#This Row],[Total electrode weight (mg)]] - IF(ROW()&lt;40, Constants!$B$2 * PI()*(Table1[[#This Row],[Electrode Diameter(mm)]]/(10*2))^2, Constants!$B$4 * PI()*(Table1[[#This Row],[Electrode Diameter(mm)]]/(10*2))^2)</f>
        <v>9.3512394094504572</v>
      </c>
      <c r="I546" s="12">
        <f t="shared" si="9"/>
        <v>8.6966526507889252</v>
      </c>
      <c r="J546">
        <f>Table1[[#This Row],[Coating weight (mg)]]/Constants!$C$2</f>
        <v>7.3819628051325026</v>
      </c>
      <c r="K546">
        <f>(Table1[[#This Row],[Coating weight (mg)]]/1000)/(((Table1[[#This Row],[Electrode Thickness(µm)]]-Constants!$E$4)*10^-4)*Constants!$C$4)</f>
        <v>-6.151635670943751</v>
      </c>
    </row>
    <row r="547" spans="1:11" x14ac:dyDescent="0.35">
      <c r="A547" s="28">
        <v>12657</v>
      </c>
      <c r="C547" s="13" t="s">
        <v>187</v>
      </c>
      <c r="D547" t="s">
        <v>15</v>
      </c>
      <c r="E547">
        <v>14</v>
      </c>
      <c r="G547">
        <v>13</v>
      </c>
      <c r="H547">
        <f>Table1[[#This Row],[Total electrode weight (mg)]] - IF(ROW()&lt;40, Constants!$B$2 * PI()*(Table1[[#This Row],[Electrode Diameter(mm)]]/(10*2))^2, Constants!$B$4 * PI()*(Table1[[#This Row],[Electrode Diameter(mm)]]/(10*2))^2)</f>
        <v>9.7512394094504575</v>
      </c>
      <c r="I547" s="12">
        <f t="shared" si="9"/>
        <v>9.0686526507889251</v>
      </c>
      <c r="J547">
        <f>Table1[[#This Row],[Coating weight (mg)]]/Constants!$C$2</f>
        <v>7.6977268437549</v>
      </c>
      <c r="K547">
        <f>(Table1[[#This Row],[Coating weight (mg)]]/1000)/(((Table1[[#This Row],[Electrode Thickness(µm)]]-Constants!$E$4)*10^-4)*Constants!$C$4)</f>
        <v>-6.4147723697957497</v>
      </c>
    </row>
    <row r="548" spans="1:11" x14ac:dyDescent="0.35">
      <c r="A548" s="28">
        <v>12676</v>
      </c>
      <c r="C548" s="13" t="s">
        <v>191</v>
      </c>
      <c r="D548" t="s">
        <v>15</v>
      </c>
      <c r="E548">
        <v>24.55</v>
      </c>
      <c r="G548">
        <v>13</v>
      </c>
      <c r="H548">
        <f>Table1[[#This Row],[Total electrode weight (mg)]] - IF(ROW()&lt;40, Constants!$B$2 * PI()*(Table1[[#This Row],[Electrode Diameter(mm)]]/(10*2))^2, Constants!$B$4 * PI()*(Table1[[#This Row],[Electrode Diameter(mm)]]/(10*2))^2)</f>
        <v>20.30123940945046</v>
      </c>
      <c r="I548" s="12">
        <f t="shared" si="9"/>
        <v>18.880152650788929</v>
      </c>
      <c r="J548">
        <f>Table1[[#This Row],[Coating weight (mg)]]/Constants!$C$2</f>
        <v>16.026003362420639</v>
      </c>
      <c r="K548">
        <f>(Table1[[#This Row],[Coating weight (mg)]]/1000)/(((Table1[[#This Row],[Electrode Thickness(µm)]]-Constants!$E$4)*10^-4)*Constants!$C$4)</f>
        <v>-13.355002802017196</v>
      </c>
    </row>
    <row r="549" spans="1:11" x14ac:dyDescent="0.35">
      <c r="A549" s="28">
        <v>12677</v>
      </c>
      <c r="C549" s="13" t="s">
        <v>191</v>
      </c>
      <c r="D549" t="s">
        <v>15</v>
      </c>
      <c r="E549">
        <v>24.94</v>
      </c>
      <c r="G549">
        <v>13</v>
      </c>
      <c r="H549">
        <f>Table1[[#This Row],[Total electrode weight (mg)]] - IF(ROW()&lt;40, Constants!$B$2 * PI()*(Table1[[#This Row],[Electrode Diameter(mm)]]/(10*2))^2, Constants!$B$4 * PI()*(Table1[[#This Row],[Electrode Diameter(mm)]]/(10*2))^2)</f>
        <v>20.691239409450461</v>
      </c>
      <c r="I549" s="12">
        <f t="shared" si="9"/>
        <v>19.242852650788929</v>
      </c>
      <c r="J549">
        <f>Table1[[#This Row],[Coating weight (mg)]]/Constants!$C$2</f>
        <v>16.333873300077478</v>
      </c>
      <c r="K549">
        <f>(Table1[[#This Row],[Coating weight (mg)]]/1000)/(((Table1[[#This Row],[Electrode Thickness(µm)]]-Constants!$E$4)*10^-4)*Constants!$C$4)</f>
        <v>-13.611561083397897</v>
      </c>
    </row>
    <row r="550" spans="1:11" x14ac:dyDescent="0.35">
      <c r="A550" s="28">
        <v>12678</v>
      </c>
      <c r="C550" s="13" t="s">
        <v>191</v>
      </c>
      <c r="D550" t="s">
        <v>15</v>
      </c>
      <c r="E550">
        <v>23.25</v>
      </c>
      <c r="G550">
        <v>13</v>
      </c>
      <c r="H550">
        <f>Table1[[#This Row],[Total electrode weight (mg)]] - IF(ROW()&lt;40, Constants!$B$2 * PI()*(Table1[[#This Row],[Electrode Diameter(mm)]]/(10*2))^2, Constants!$B$4 * PI()*(Table1[[#This Row],[Electrode Diameter(mm)]]/(10*2))^2)</f>
        <v>19.001239409450456</v>
      </c>
      <c r="I550" s="12">
        <f t="shared" si="9"/>
        <v>17.671152650788926</v>
      </c>
      <c r="J550">
        <f>Table1[[#This Row],[Coating weight (mg)]]/Constants!$C$2</f>
        <v>14.999770236897843</v>
      </c>
      <c r="K550">
        <f>(Table1[[#This Row],[Coating weight (mg)]]/1000)/(((Table1[[#This Row],[Electrode Thickness(µm)]]-Constants!$E$4)*10^-4)*Constants!$C$4)</f>
        <v>-12.499808530748203</v>
      </c>
    </row>
    <row r="551" spans="1:11" x14ac:dyDescent="0.35">
      <c r="A551" s="28">
        <v>12679</v>
      </c>
      <c r="C551" s="13" t="s">
        <v>191</v>
      </c>
      <c r="D551" t="s">
        <v>15</v>
      </c>
      <c r="E551">
        <v>24.5</v>
      </c>
      <c r="G551">
        <v>13</v>
      </c>
      <c r="H551">
        <f>Table1[[#This Row],[Total electrode weight (mg)]] - IF(ROW()&lt;40, Constants!$B$2 * PI()*(Table1[[#This Row],[Electrode Diameter(mm)]]/(10*2))^2, Constants!$B$4 * PI()*(Table1[[#This Row],[Electrode Diameter(mm)]]/(10*2))^2)</f>
        <v>20.251239409450456</v>
      </c>
      <c r="I551" s="12">
        <f t="shared" si="9"/>
        <v>18.833652650788924</v>
      </c>
      <c r="J551">
        <f>Table1[[#This Row],[Coating weight (mg)]]/Constants!$C$2</f>
        <v>15.986532857592836</v>
      </c>
      <c r="K551">
        <f>(Table1[[#This Row],[Coating weight (mg)]]/1000)/(((Table1[[#This Row],[Electrode Thickness(µm)]]-Constants!$E$4)*10^-4)*Constants!$C$4)</f>
        <v>-13.322110714660695</v>
      </c>
    </row>
    <row r="552" spans="1:11" x14ac:dyDescent="0.35">
      <c r="A552" s="28">
        <v>12680</v>
      </c>
      <c r="C552" s="13" t="s">
        <v>191</v>
      </c>
      <c r="D552" t="s">
        <v>15</v>
      </c>
      <c r="E552">
        <v>23.8</v>
      </c>
      <c r="G552">
        <v>13</v>
      </c>
      <c r="H552">
        <f>Table1[[#This Row],[Total electrode weight (mg)]] - IF(ROW()&lt;40, Constants!$B$2 * PI()*(Table1[[#This Row],[Electrode Diameter(mm)]]/(10*2))^2, Constants!$B$4 * PI()*(Table1[[#This Row],[Electrode Diameter(mm)]]/(10*2))^2)</f>
        <v>19.55123940945046</v>
      </c>
      <c r="I552" s="12">
        <f t="shared" si="9"/>
        <v>18.182652650788928</v>
      </c>
      <c r="J552">
        <f>Table1[[#This Row],[Coating weight (mg)]]/Constants!$C$2</f>
        <v>15.433945790003644</v>
      </c>
      <c r="K552">
        <f>(Table1[[#This Row],[Coating weight (mg)]]/1000)/(((Table1[[#This Row],[Electrode Thickness(µm)]]-Constants!$E$4)*10^-4)*Constants!$C$4)</f>
        <v>-12.861621491669702</v>
      </c>
    </row>
    <row r="553" spans="1:11" x14ac:dyDescent="0.35">
      <c r="A553" s="28">
        <v>12681</v>
      </c>
      <c r="C553" s="13" t="s">
        <v>192</v>
      </c>
      <c r="D553" t="s">
        <v>15</v>
      </c>
      <c r="E553">
        <v>21.97</v>
      </c>
      <c r="G553">
        <v>13</v>
      </c>
      <c r="H553">
        <f>Table1[[#This Row],[Total electrode weight (mg)]] - IF(ROW()&lt;40, Constants!$B$2 * PI()*(Table1[[#This Row],[Electrode Diameter(mm)]]/(10*2))^2, Constants!$B$4 * PI()*(Table1[[#This Row],[Electrode Diameter(mm)]]/(10*2))^2)</f>
        <v>17.721239409450455</v>
      </c>
      <c r="I553" s="12">
        <f t="shared" si="9"/>
        <v>16.480752650788922</v>
      </c>
      <c r="J553">
        <f>Table1[[#This Row],[Coating weight (mg)]]/Constants!$C$2</f>
        <v>13.989325313306171</v>
      </c>
      <c r="K553">
        <f>(Table1[[#This Row],[Coating weight (mg)]]/1000)/(((Table1[[#This Row],[Electrode Thickness(µm)]]-Constants!$E$4)*10^-4)*Constants!$C$4)</f>
        <v>-11.657771094421808</v>
      </c>
    </row>
    <row r="554" spans="1:11" x14ac:dyDescent="0.35">
      <c r="A554" s="28">
        <v>12682</v>
      </c>
      <c r="C554" s="13" t="s">
        <v>192</v>
      </c>
      <c r="D554" t="s">
        <v>15</v>
      </c>
      <c r="E554">
        <v>21.21</v>
      </c>
      <c r="G554">
        <v>13</v>
      </c>
      <c r="H554">
        <f>Table1[[#This Row],[Total electrode weight (mg)]] - IF(ROW()&lt;40, Constants!$B$2 * PI()*(Table1[[#This Row],[Electrode Diameter(mm)]]/(10*2))^2, Constants!$B$4 * PI()*(Table1[[#This Row],[Electrode Diameter(mm)]]/(10*2))^2)</f>
        <v>16.961239409450457</v>
      </c>
      <c r="I554" s="12">
        <f t="shared" si="9"/>
        <v>15.773952650788926</v>
      </c>
      <c r="J554">
        <f>Table1[[#This Row],[Coating weight (mg)]]/Constants!$C$2</f>
        <v>13.389373639923617</v>
      </c>
      <c r="K554">
        <f>(Table1[[#This Row],[Coating weight (mg)]]/1000)/(((Table1[[#This Row],[Electrode Thickness(µm)]]-Constants!$E$4)*10^-4)*Constants!$C$4)</f>
        <v>-11.157811366603012</v>
      </c>
    </row>
    <row r="555" spans="1:11" x14ac:dyDescent="0.35">
      <c r="A555" s="28">
        <v>12683</v>
      </c>
      <c r="C555" s="13" t="s">
        <v>192</v>
      </c>
      <c r="D555" t="s">
        <v>15</v>
      </c>
      <c r="E555">
        <v>20.82</v>
      </c>
      <c r="G555">
        <v>13</v>
      </c>
      <c r="H555">
        <f>Table1[[#This Row],[Total electrode weight (mg)]] - IF(ROW()&lt;40, Constants!$B$2 * PI()*(Table1[[#This Row],[Electrode Diameter(mm)]]/(10*2))^2, Constants!$B$4 * PI()*(Table1[[#This Row],[Electrode Diameter(mm)]]/(10*2))^2)</f>
        <v>16.571239409450456</v>
      </c>
      <c r="I555" s="12">
        <f t="shared" si="9"/>
        <v>15.411252650788924</v>
      </c>
      <c r="J555">
        <f>Table1[[#This Row],[Coating weight (mg)]]/Constants!$C$2</f>
        <v>13.081503702266779</v>
      </c>
      <c r="K555">
        <f>(Table1[[#This Row],[Coating weight (mg)]]/1000)/(((Table1[[#This Row],[Electrode Thickness(µm)]]-Constants!$E$4)*10^-4)*Constants!$C$4)</f>
        <v>-10.901253085222315</v>
      </c>
    </row>
    <row r="556" spans="1:11" x14ac:dyDescent="0.35">
      <c r="A556" s="28">
        <v>12684</v>
      </c>
      <c r="C556" s="13" t="s">
        <v>192</v>
      </c>
      <c r="D556" t="s">
        <v>15</v>
      </c>
      <c r="E556">
        <v>20.57</v>
      </c>
      <c r="G556">
        <v>13</v>
      </c>
      <c r="H556">
        <f>Table1[[#This Row],[Total electrode weight (mg)]] - IF(ROW()&lt;40, Constants!$B$2 * PI()*(Table1[[#This Row],[Electrode Diameter(mm)]]/(10*2))^2, Constants!$B$4 * PI()*(Table1[[#This Row],[Electrode Diameter(mm)]]/(10*2))^2)</f>
        <v>16.321239409450456</v>
      </c>
      <c r="I556" s="12">
        <f t="shared" si="9"/>
        <v>15.178752650788924</v>
      </c>
      <c r="J556">
        <f>Table1[[#This Row],[Coating weight (mg)]]/Constants!$C$2</f>
        <v>12.88415117812778</v>
      </c>
      <c r="K556">
        <f>(Table1[[#This Row],[Coating weight (mg)]]/1000)/(((Table1[[#This Row],[Electrode Thickness(µm)]]-Constants!$E$4)*10^-4)*Constants!$C$4)</f>
        <v>-10.736792648439817</v>
      </c>
    </row>
    <row r="557" spans="1:11" x14ac:dyDescent="0.35">
      <c r="A557" s="28">
        <v>12685</v>
      </c>
      <c r="B557" t="s">
        <v>193</v>
      </c>
      <c r="C557" s="13" t="s">
        <v>192</v>
      </c>
      <c r="D557" t="s">
        <v>15</v>
      </c>
      <c r="E557">
        <v>21.86</v>
      </c>
      <c r="G557">
        <v>13</v>
      </c>
      <c r="H557">
        <f>Table1[[#This Row],[Total electrode weight (mg)]] - IF(ROW()&lt;40, Constants!$B$2 * PI()*(Table1[[#This Row],[Electrode Diameter(mm)]]/(10*2))^2, Constants!$B$4 * PI()*(Table1[[#This Row],[Electrode Diameter(mm)]]/(10*2))^2)</f>
        <v>17.611239409450455</v>
      </c>
      <c r="I557" s="12">
        <f t="shared" si="9"/>
        <v>16.378452650788923</v>
      </c>
      <c r="J557">
        <f>Table1[[#This Row],[Coating weight (mg)]]/Constants!$C$2</f>
        <v>13.902490202685012</v>
      </c>
      <c r="K557">
        <f>(Table1[[#This Row],[Coating weight (mg)]]/1000)/(((Table1[[#This Row],[Electrode Thickness(µm)]]-Constants!$E$4)*10^-4)*Constants!$C$4)</f>
        <v>-11.585408502237508</v>
      </c>
    </row>
    <row r="558" spans="1:11" x14ac:dyDescent="0.35">
      <c r="A558" s="28">
        <v>12686</v>
      </c>
      <c r="C558" s="13" t="s">
        <v>194</v>
      </c>
      <c r="D558" t="s">
        <v>15</v>
      </c>
      <c r="E558">
        <v>12.95</v>
      </c>
      <c r="G558">
        <v>13</v>
      </c>
      <c r="H558">
        <f>Table1[[#This Row],[Total electrode weight (mg)]] - IF(ROW()&lt;40, Constants!$B$2 * PI()*(Table1[[#This Row],[Electrode Diameter(mm)]]/(10*2))^2, Constants!$B$4 * PI()*(Table1[[#This Row],[Electrode Diameter(mm)]]/(10*2))^2)</f>
        <v>8.7012394094504568</v>
      </c>
      <c r="I558" s="12">
        <f t="shared" si="9"/>
        <v>8.0921526507889254</v>
      </c>
      <c r="J558">
        <f>Table1[[#This Row],[Coating weight (mg)]]/Constants!$C$2</f>
        <v>6.8688462423711059</v>
      </c>
      <c r="K558">
        <f>(Table1[[#This Row],[Coating weight (mg)]]/1000)/(((Table1[[#This Row],[Electrode Thickness(µm)]]-Constants!$E$4)*10^-4)*Constants!$C$4)</f>
        <v>-5.7240385353092549</v>
      </c>
    </row>
    <row r="559" spans="1:11" x14ac:dyDescent="0.35">
      <c r="A559" s="28">
        <v>12687</v>
      </c>
      <c r="C559" s="13" t="s">
        <v>194</v>
      </c>
      <c r="D559" t="s">
        <v>15</v>
      </c>
      <c r="E559">
        <v>13.05</v>
      </c>
      <c r="G559">
        <v>13</v>
      </c>
      <c r="H559">
        <f>Table1[[#This Row],[Total electrode weight (mg)]] - IF(ROW()&lt;40, Constants!$B$2 * PI()*(Table1[[#This Row],[Electrode Diameter(mm)]]/(10*2))^2, Constants!$B$4 * PI()*(Table1[[#This Row],[Electrode Diameter(mm)]]/(10*2))^2)</f>
        <v>8.8012394094504582</v>
      </c>
      <c r="I559" s="12">
        <f t="shared" si="9"/>
        <v>8.1851526507889272</v>
      </c>
      <c r="J559">
        <f>Table1[[#This Row],[Coating weight (mg)]]/Constants!$C$2</f>
        <v>6.9477872520267061</v>
      </c>
      <c r="K559">
        <f>(Table1[[#This Row],[Coating weight (mg)]]/1000)/(((Table1[[#This Row],[Electrode Thickness(µm)]]-Constants!$E$4)*10^-4)*Constants!$C$4)</f>
        <v>-5.7898227100222552</v>
      </c>
    </row>
    <row r="560" spans="1:11" x14ac:dyDescent="0.35">
      <c r="A560" s="28">
        <v>12688</v>
      </c>
      <c r="C560" s="13" t="s">
        <v>194</v>
      </c>
      <c r="D560" t="s">
        <v>15</v>
      </c>
      <c r="E560">
        <v>12.95</v>
      </c>
      <c r="G560">
        <v>13</v>
      </c>
      <c r="H560">
        <f>Table1[[#This Row],[Total electrode weight (mg)]] - IF(ROW()&lt;40, Constants!$B$2 * PI()*(Table1[[#This Row],[Electrode Diameter(mm)]]/(10*2))^2, Constants!$B$4 * PI()*(Table1[[#This Row],[Electrode Diameter(mm)]]/(10*2))^2)</f>
        <v>8.7012394094504568</v>
      </c>
      <c r="I560" s="12">
        <f t="shared" si="9"/>
        <v>8.0921526507889254</v>
      </c>
      <c r="J560">
        <f>Table1[[#This Row],[Coating weight (mg)]]/Constants!$C$2</f>
        <v>6.8688462423711059</v>
      </c>
      <c r="K560">
        <f>(Table1[[#This Row],[Coating weight (mg)]]/1000)/(((Table1[[#This Row],[Electrode Thickness(µm)]]-Constants!$E$4)*10^-4)*Constants!$C$4)</f>
        <v>-5.7240385353092549</v>
      </c>
    </row>
    <row r="561" spans="1:14" x14ac:dyDescent="0.35">
      <c r="A561" s="28">
        <v>12689</v>
      </c>
      <c r="C561" s="13" t="s">
        <v>194</v>
      </c>
      <c r="D561" t="s">
        <v>15</v>
      </c>
      <c r="E561">
        <v>12.65</v>
      </c>
      <c r="G561">
        <v>13</v>
      </c>
      <c r="H561">
        <f>Table1[[#This Row],[Total electrode weight (mg)]] - IF(ROW()&lt;40, Constants!$B$2 * PI()*(Table1[[#This Row],[Electrode Diameter(mm)]]/(10*2))^2, Constants!$B$4 * PI()*(Table1[[#This Row],[Electrode Diameter(mm)]]/(10*2))^2)</f>
        <v>8.4012394094504579</v>
      </c>
      <c r="I561" s="12">
        <f t="shared" si="9"/>
        <v>7.8131526507889264</v>
      </c>
      <c r="J561">
        <f>Table1[[#This Row],[Coating weight (mg)]]/Constants!$C$2</f>
        <v>6.6320232134043087</v>
      </c>
      <c r="K561">
        <f>(Table1[[#This Row],[Coating weight (mg)]]/1000)/(((Table1[[#This Row],[Electrode Thickness(µm)]]-Constants!$E$4)*10^-4)*Constants!$C$4)</f>
        <v>-5.5266860111702565</v>
      </c>
    </row>
    <row r="562" spans="1:14" x14ac:dyDescent="0.35">
      <c r="A562" s="28">
        <v>12690</v>
      </c>
      <c r="C562" s="13" t="s">
        <v>194</v>
      </c>
      <c r="D562" t="s">
        <v>15</v>
      </c>
      <c r="E562">
        <v>12.74</v>
      </c>
      <c r="G562">
        <v>13</v>
      </c>
      <c r="H562">
        <f>Table1[[#This Row],[Total electrode weight (mg)]] - IF(ROW()&lt;40, Constants!$B$2 * PI()*(Table1[[#This Row],[Electrode Diameter(mm)]]/(10*2))^2, Constants!$B$4 * PI()*(Table1[[#This Row],[Electrode Diameter(mm)]]/(10*2))^2)</f>
        <v>8.4912394094504577</v>
      </c>
      <c r="I562" s="12">
        <f t="shared" si="9"/>
        <v>7.8968526507889258</v>
      </c>
      <c r="J562">
        <f>Table1[[#This Row],[Coating weight (mg)]]/Constants!$C$2</f>
        <v>6.7030701220943483</v>
      </c>
      <c r="K562">
        <f>(Table1[[#This Row],[Coating weight (mg)]]/1000)/(((Table1[[#This Row],[Electrode Thickness(µm)]]-Constants!$E$4)*10^-4)*Constants!$C$4)</f>
        <v>-5.5858917684119556</v>
      </c>
    </row>
    <row r="563" spans="1:14" x14ac:dyDescent="0.35">
      <c r="A563" s="28">
        <v>12691</v>
      </c>
      <c r="C563" s="13" t="s">
        <v>195</v>
      </c>
      <c r="D563" t="s">
        <v>15</v>
      </c>
      <c r="E563">
        <v>12.15</v>
      </c>
      <c r="G563">
        <v>13</v>
      </c>
      <c r="H563">
        <f>Table1[[#This Row],[Total electrode weight (mg)]] - IF(ROW()&lt;40, Constants!$B$2 * PI()*(Table1[[#This Row],[Electrode Diameter(mm)]]/(10*2))^2, Constants!$B$4 * PI()*(Table1[[#This Row],[Electrode Diameter(mm)]]/(10*2))^2)</f>
        <v>7.9012394094504579</v>
      </c>
      <c r="I563" s="12">
        <f t="shared" si="9"/>
        <v>7.3481526507889265</v>
      </c>
      <c r="J563">
        <f>Table1[[#This Row],[Coating weight (mg)]]/Constants!$C$2</f>
        <v>6.2373181651263119</v>
      </c>
      <c r="K563">
        <f>(Table1[[#This Row],[Coating weight (mg)]]/1000)/(((Table1[[#This Row],[Electrode Thickness(µm)]]-Constants!$E$4)*10^-4)*Constants!$C$4)</f>
        <v>-5.1977651376052583</v>
      </c>
    </row>
    <row r="564" spans="1:14" x14ac:dyDescent="0.35">
      <c r="A564" s="28">
        <v>12692</v>
      </c>
      <c r="C564" s="13" t="s">
        <v>195</v>
      </c>
      <c r="D564" t="s">
        <v>15</v>
      </c>
      <c r="E564">
        <v>11.91</v>
      </c>
      <c r="G564">
        <v>13</v>
      </c>
      <c r="H564">
        <f>Table1[[#This Row],[Total electrode weight (mg)]] - IF(ROW()&lt;40, Constants!$B$2 * PI()*(Table1[[#This Row],[Electrode Diameter(mm)]]/(10*2))^2, Constants!$B$4 * PI()*(Table1[[#This Row],[Electrode Diameter(mm)]]/(10*2))^2)</f>
        <v>7.6612394094504577</v>
      </c>
      <c r="I564" s="12">
        <f t="shared" si="9"/>
        <v>7.1249526507889263</v>
      </c>
      <c r="J564">
        <f>Table1[[#This Row],[Coating weight (mg)]]/Constants!$C$2</f>
        <v>6.0478597419528723</v>
      </c>
      <c r="K564">
        <f>(Table1[[#This Row],[Coating weight (mg)]]/1000)/(((Table1[[#This Row],[Electrode Thickness(µm)]]-Constants!$E$4)*10^-4)*Constants!$C$4)</f>
        <v>-5.0398831182940595</v>
      </c>
    </row>
    <row r="565" spans="1:14" x14ac:dyDescent="0.35">
      <c r="A565" s="28">
        <v>12693</v>
      </c>
      <c r="C565" s="13" t="s">
        <v>195</v>
      </c>
      <c r="D565" t="s">
        <v>15</v>
      </c>
      <c r="E565">
        <v>12.37</v>
      </c>
      <c r="G565">
        <v>13</v>
      </c>
      <c r="H565">
        <f>Table1[[#This Row],[Total electrode weight (mg)]] - IF(ROW()&lt;40, Constants!$B$2 * PI()*(Table1[[#This Row],[Electrode Diameter(mm)]]/(10*2))^2, Constants!$B$4 * PI()*(Table1[[#This Row],[Electrode Diameter(mm)]]/(10*2))^2)</f>
        <v>8.1212394094504567</v>
      </c>
      <c r="I565" s="12">
        <f t="shared" si="9"/>
        <v>7.5527526507889249</v>
      </c>
      <c r="J565">
        <f>Table1[[#This Row],[Coating weight (mg)]]/Constants!$C$2</f>
        <v>6.4109883863686292</v>
      </c>
      <c r="K565">
        <f>(Table1[[#This Row],[Coating weight (mg)]]/1000)/(((Table1[[#This Row],[Electrode Thickness(µm)]]-Constants!$E$4)*10^-4)*Constants!$C$4)</f>
        <v>-5.3424903219738571</v>
      </c>
    </row>
    <row r="566" spans="1:14" x14ac:dyDescent="0.35">
      <c r="A566" s="28">
        <v>12694</v>
      </c>
      <c r="C566" s="13" t="s">
        <v>195</v>
      </c>
      <c r="D566" t="s">
        <v>15</v>
      </c>
      <c r="E566">
        <v>12.18</v>
      </c>
      <c r="G566">
        <v>13</v>
      </c>
      <c r="H566">
        <f>Table1[[#This Row],[Total electrode weight (mg)]] - IF(ROW()&lt;40, Constants!$B$2 * PI()*(Table1[[#This Row],[Electrode Diameter(mm)]]/(10*2))^2, Constants!$B$4 * PI()*(Table1[[#This Row],[Electrode Diameter(mm)]]/(10*2))^2)</f>
        <v>7.9312394094504572</v>
      </c>
      <c r="I566" s="12">
        <f t="shared" si="9"/>
        <v>7.3760526507889255</v>
      </c>
      <c r="J566">
        <f>Table1[[#This Row],[Coating weight (mg)]]/Constants!$C$2</f>
        <v>6.2610004680229912</v>
      </c>
      <c r="K566">
        <f>(Table1[[#This Row],[Coating weight (mg)]]/1000)/(((Table1[[#This Row],[Electrode Thickness(µm)]]-Constants!$E$4)*10^-4)*Constants!$C$4)</f>
        <v>-5.2175003900191586</v>
      </c>
    </row>
    <row r="567" spans="1:14" x14ac:dyDescent="0.35">
      <c r="A567" s="28">
        <v>12695</v>
      </c>
      <c r="C567" s="13" t="s">
        <v>195</v>
      </c>
      <c r="D567" t="s">
        <v>15</v>
      </c>
      <c r="E567">
        <v>12.3</v>
      </c>
      <c r="G567">
        <v>13</v>
      </c>
      <c r="H567">
        <f>Table1[[#This Row],[Total electrode weight (mg)]] - IF(ROW()&lt;40, Constants!$B$2 * PI()*(Table1[[#This Row],[Electrode Diameter(mm)]]/(10*2))^2, Constants!$B$4 * PI()*(Table1[[#This Row],[Electrode Diameter(mm)]]/(10*2))^2)</f>
        <v>8.0512394094504582</v>
      </c>
      <c r="I567" s="12">
        <f t="shared" si="9"/>
        <v>7.4876526507889265</v>
      </c>
      <c r="J567">
        <f>Table1[[#This Row],[Coating weight (mg)]]/Constants!$C$2</f>
        <v>6.3557296796097109</v>
      </c>
      <c r="K567">
        <f>(Table1[[#This Row],[Coating weight (mg)]]/1000)/(((Table1[[#This Row],[Electrode Thickness(µm)]]-Constants!$E$4)*10^-4)*Constants!$C$4)</f>
        <v>-5.2964413996747579</v>
      </c>
    </row>
    <row r="568" spans="1:14" x14ac:dyDescent="0.35">
      <c r="A568" s="28">
        <v>12696</v>
      </c>
      <c r="C568" s="13" t="s">
        <v>196</v>
      </c>
      <c r="D568" t="s">
        <v>15</v>
      </c>
      <c r="E568">
        <v>13.14</v>
      </c>
      <c r="G568">
        <v>13</v>
      </c>
      <c r="H568">
        <f>Table1[[#This Row],[Total electrode weight (mg)]] - IF(ROW()&lt;40, Constants!$B$2 * PI()*(Table1[[#This Row],[Electrode Diameter(mm)]]/(10*2))^2, Constants!$B$4 * PI()*(Table1[[#This Row],[Electrode Diameter(mm)]]/(10*2))^2)</f>
        <v>8.8912394094504581</v>
      </c>
      <c r="I568" s="12">
        <f t="shared" si="9"/>
        <v>8.2688526507889257</v>
      </c>
      <c r="J568">
        <f>Table1[[#This Row],[Coating weight (mg)]]/Constants!$C$2</f>
        <v>7.0188341607167457</v>
      </c>
      <c r="K568">
        <f>(Table1[[#This Row],[Coating weight (mg)]]/1000)/(((Table1[[#This Row],[Electrode Thickness(µm)]]-Constants!$E$4)*10^-4)*Constants!$C$4)</f>
        <v>-5.8490284672639543</v>
      </c>
    </row>
    <row r="569" spans="1:14" x14ac:dyDescent="0.35">
      <c r="A569" s="28">
        <v>12697</v>
      </c>
      <c r="C569" s="13" t="s">
        <v>196</v>
      </c>
      <c r="D569" t="s">
        <v>15</v>
      </c>
      <c r="E569">
        <v>12.84</v>
      </c>
      <c r="G569">
        <v>13</v>
      </c>
      <c r="H569">
        <f>Table1[[#This Row],[Total electrode weight (mg)]] - IF(ROW()&lt;40, Constants!$B$2 * PI()*(Table1[[#This Row],[Electrode Diameter(mm)]]/(10*2))^2, Constants!$B$4 * PI()*(Table1[[#This Row],[Electrode Diameter(mm)]]/(10*2))^2)</f>
        <v>8.5912394094504574</v>
      </c>
      <c r="I569" s="12">
        <f t="shared" si="9"/>
        <v>7.9898526507889258</v>
      </c>
      <c r="J569">
        <f>Table1[[#This Row],[Coating weight (mg)]]/Constants!$C$2</f>
        <v>6.7820111317499467</v>
      </c>
      <c r="K569">
        <f>(Table1[[#This Row],[Coating weight (mg)]]/1000)/(((Table1[[#This Row],[Electrode Thickness(µm)]]-Constants!$E$4)*10^-4)*Constants!$C$4)</f>
        <v>-5.651675943124955</v>
      </c>
    </row>
    <row r="570" spans="1:14" x14ac:dyDescent="0.35">
      <c r="A570" s="28">
        <v>12698</v>
      </c>
      <c r="C570" s="13" t="s">
        <v>196</v>
      </c>
      <c r="D570" t="s">
        <v>15</v>
      </c>
      <c r="E570">
        <v>13.17</v>
      </c>
      <c r="G570">
        <v>13</v>
      </c>
      <c r="H570">
        <f>Table1[[#This Row],[Total electrode weight (mg)]] - IF(ROW()&lt;40, Constants!$B$2 * PI()*(Table1[[#This Row],[Electrode Diameter(mm)]]/(10*2))^2, Constants!$B$4 * PI()*(Table1[[#This Row],[Electrode Diameter(mm)]]/(10*2))^2)</f>
        <v>8.9212394094504575</v>
      </c>
      <c r="I570" s="12">
        <f t="shared" si="9"/>
        <v>8.2967526507889264</v>
      </c>
      <c r="J570">
        <f>Table1[[#This Row],[Coating weight (mg)]]/Constants!$C$2</f>
        <v>7.042516463613425</v>
      </c>
      <c r="K570">
        <f>(Table1[[#This Row],[Coating weight (mg)]]/1000)/(((Table1[[#This Row],[Electrode Thickness(µm)]]-Constants!$E$4)*10^-4)*Constants!$C$4)</f>
        <v>-5.8687637196778528</v>
      </c>
    </row>
    <row r="571" spans="1:14" x14ac:dyDescent="0.35">
      <c r="A571" s="28">
        <v>12699</v>
      </c>
      <c r="C571" s="13" t="s">
        <v>196</v>
      </c>
      <c r="D571" t="s">
        <v>15</v>
      </c>
      <c r="E571">
        <v>13.12</v>
      </c>
      <c r="G571">
        <v>13</v>
      </c>
      <c r="H571">
        <f>Table1[[#This Row],[Total electrode weight (mg)]] - IF(ROW()&lt;40, Constants!$B$2 * PI()*(Table1[[#This Row],[Electrode Diameter(mm)]]/(10*2))^2, Constants!$B$4 * PI()*(Table1[[#This Row],[Electrode Diameter(mm)]]/(10*2))^2)</f>
        <v>8.8712394094504567</v>
      </c>
      <c r="I571" s="12">
        <f t="shared" si="9"/>
        <v>8.2502526507889247</v>
      </c>
      <c r="J571">
        <f>Table1[[#This Row],[Coating weight (mg)]]/Constants!$C$2</f>
        <v>7.0030459587856253</v>
      </c>
      <c r="K571">
        <f>(Table1[[#This Row],[Coating weight (mg)]]/1000)/(((Table1[[#This Row],[Electrode Thickness(µm)]]-Constants!$E$4)*10^-4)*Constants!$C$4)</f>
        <v>-5.8358716323213535</v>
      </c>
    </row>
    <row r="572" spans="1:14" x14ac:dyDescent="0.35">
      <c r="A572" s="28">
        <v>12700</v>
      </c>
      <c r="C572" s="13" t="s">
        <v>196</v>
      </c>
      <c r="D572" t="s">
        <v>15</v>
      </c>
      <c r="E572">
        <v>13.32</v>
      </c>
      <c r="G572">
        <v>13</v>
      </c>
      <c r="H572">
        <f>Table1[[#This Row],[Total electrode weight (mg)]] - IF(ROW()&lt;40, Constants!$B$2 * PI()*(Table1[[#This Row],[Electrode Diameter(mm)]]/(10*2))^2, Constants!$B$4 * PI()*(Table1[[#This Row],[Electrode Diameter(mm)]]/(10*2))^2)</f>
        <v>9.0712394094504578</v>
      </c>
      <c r="I572" s="12">
        <f t="shared" si="9"/>
        <v>8.4362526507889264</v>
      </c>
      <c r="J572">
        <f>Table1[[#This Row],[Coating weight (mg)]]/Constants!$C$2</f>
        <v>7.1609279780968249</v>
      </c>
      <c r="K572">
        <f>(Table1[[#This Row],[Coating weight (mg)]]/1000)/(((Table1[[#This Row],[Electrode Thickness(µm)]]-Constants!$E$4)*10^-4)*Constants!$C$4)</f>
        <v>-5.9674399817473534</v>
      </c>
    </row>
    <row r="573" spans="1:14" x14ac:dyDescent="0.35">
      <c r="A573" s="28">
        <v>12704</v>
      </c>
      <c r="C573" s="13" t="s">
        <v>197</v>
      </c>
      <c r="D573" t="s">
        <v>15</v>
      </c>
      <c r="E573">
        <v>14</v>
      </c>
      <c r="G573">
        <v>13</v>
      </c>
      <c r="H573">
        <f>Table1[[#This Row],[Total electrode weight (mg)]] - IF(ROW()&lt;40, Constants!$B$2 * PI()*(Table1[[#This Row],[Electrode Diameter(mm)]]/(10*2))^2, Constants!$B$4 * PI()*(Table1[[#This Row],[Electrode Diameter(mm)]]/(10*2))^2)</f>
        <v>9.7512394094504575</v>
      </c>
      <c r="I573" s="12">
        <f t="shared" si="9"/>
        <v>9.0686526507889251</v>
      </c>
      <c r="J573">
        <f>Table1[[#This Row],[Coating weight (mg)]]/Constants!$C$2</f>
        <v>7.6977268437549</v>
      </c>
      <c r="K573">
        <f>(Table1[[#This Row],[Coating weight (mg)]]/1000)/(((Table1[[#This Row],[Electrode Thickness(µm)]]-Constants!$E$4)*10^-4)*Constants!$C$4)</f>
        <v>-6.4147723697957497</v>
      </c>
      <c r="N573" t="s">
        <v>198</v>
      </c>
    </row>
    <row r="574" spans="1:14" x14ac:dyDescent="0.35">
      <c r="A574" s="28">
        <v>12705</v>
      </c>
      <c r="C574" s="13" t="s">
        <v>197</v>
      </c>
      <c r="D574" t="s">
        <v>15</v>
      </c>
      <c r="E574">
        <v>13.9</v>
      </c>
      <c r="G574">
        <v>13</v>
      </c>
      <c r="H574">
        <f>Table1[[#This Row],[Total electrode weight (mg)]] - IF(ROW()&lt;40, Constants!$B$2 * PI()*(Table1[[#This Row],[Electrode Diameter(mm)]]/(10*2))^2, Constants!$B$4 * PI()*(Table1[[#This Row],[Electrode Diameter(mm)]]/(10*2))^2)</f>
        <v>9.6512394094504579</v>
      </c>
      <c r="I574" s="12">
        <f t="shared" si="9"/>
        <v>8.9756526507889269</v>
      </c>
      <c r="J574">
        <f>Table1[[#This Row],[Coating weight (mg)]]/Constants!$C$2</f>
        <v>7.6187858340993015</v>
      </c>
      <c r="K574">
        <f>(Table1[[#This Row],[Coating weight (mg)]]/1000)/(((Table1[[#This Row],[Electrode Thickness(µm)]]-Constants!$E$4)*10^-4)*Constants!$C$4)</f>
        <v>-6.3489881950827503</v>
      </c>
      <c r="N574" t="s">
        <v>198</v>
      </c>
    </row>
    <row r="575" spans="1:14" x14ac:dyDescent="0.35">
      <c r="A575" s="28">
        <v>12706</v>
      </c>
      <c r="C575" s="13" t="s">
        <v>197</v>
      </c>
      <c r="D575" t="s">
        <v>15</v>
      </c>
      <c r="E575">
        <v>13.6</v>
      </c>
      <c r="G575">
        <v>13</v>
      </c>
      <c r="H575">
        <f>Table1[[#This Row],[Total electrode weight (mg)]] - IF(ROW()&lt;40, Constants!$B$2 * PI()*(Table1[[#This Row],[Electrode Diameter(mm)]]/(10*2))^2, Constants!$B$4 * PI()*(Table1[[#This Row],[Electrode Diameter(mm)]]/(10*2))^2)</f>
        <v>9.3512394094504572</v>
      </c>
      <c r="I575" s="12">
        <f t="shared" si="9"/>
        <v>8.6966526507889252</v>
      </c>
      <c r="J575">
        <f>Table1[[#This Row],[Coating weight (mg)]]/Constants!$C$2</f>
        <v>7.3819628051325026</v>
      </c>
      <c r="K575">
        <f>(Table1[[#This Row],[Coating weight (mg)]]/1000)/(((Table1[[#This Row],[Electrode Thickness(µm)]]-Constants!$E$4)*10^-4)*Constants!$C$4)</f>
        <v>-6.151635670943751</v>
      </c>
      <c r="N575" t="s">
        <v>198</v>
      </c>
    </row>
    <row r="576" spans="1:14" x14ac:dyDescent="0.35">
      <c r="A576" s="28">
        <v>12707</v>
      </c>
      <c r="C576" s="13" t="s">
        <v>197</v>
      </c>
      <c r="D576" t="s">
        <v>15</v>
      </c>
      <c r="E576">
        <v>14.2</v>
      </c>
      <c r="G576">
        <v>13</v>
      </c>
      <c r="H576">
        <f>Table1[[#This Row],[Total electrode weight (mg)]] - IF(ROW()&lt;40, Constants!$B$2 * PI()*(Table1[[#This Row],[Electrode Diameter(mm)]]/(10*2))^2, Constants!$B$4 * PI()*(Table1[[#This Row],[Electrode Diameter(mm)]]/(10*2))^2)</f>
        <v>9.9512394094504568</v>
      </c>
      <c r="I576" s="12">
        <f t="shared" si="9"/>
        <v>9.2546526507889251</v>
      </c>
      <c r="J576">
        <f>Table1[[#This Row],[Coating weight (mg)]]/Constants!$C$2</f>
        <v>7.8556088630660987</v>
      </c>
      <c r="K576">
        <f>(Table1[[#This Row],[Coating weight (mg)]]/1000)/(((Table1[[#This Row],[Electrode Thickness(µm)]]-Constants!$E$4)*10^-4)*Constants!$C$4)</f>
        <v>-6.5463407192217478</v>
      </c>
      <c r="N576" t="s">
        <v>198</v>
      </c>
    </row>
    <row r="577" spans="1:14" x14ac:dyDescent="0.35">
      <c r="A577" s="28">
        <v>12708</v>
      </c>
      <c r="C577" s="13" t="s">
        <v>199</v>
      </c>
      <c r="D577" t="s">
        <v>15</v>
      </c>
      <c r="E577">
        <v>12.5</v>
      </c>
      <c r="G577">
        <v>13</v>
      </c>
      <c r="H577">
        <f>Table1[[#This Row],[Total electrode weight (mg)]] - IF(ROW()&lt;40, Constants!$B$2 * PI()*(Table1[[#This Row],[Electrode Diameter(mm)]]/(10*2))^2, Constants!$B$4 * PI()*(Table1[[#This Row],[Electrode Diameter(mm)]]/(10*2))^2)</f>
        <v>8.2512394094504575</v>
      </c>
      <c r="I577" s="12">
        <f t="shared" si="9"/>
        <v>7.6736526507889256</v>
      </c>
      <c r="J577">
        <f>Table1[[#This Row],[Coating weight (mg)]]/Constants!$C$2</f>
        <v>6.5136116989209087</v>
      </c>
      <c r="K577">
        <f>(Table1[[#This Row],[Coating weight (mg)]]/1000)/(((Table1[[#This Row],[Electrode Thickness(µm)]]-Constants!$E$4)*10^-4)*Constants!$C$4)</f>
        <v>-5.428009749100756</v>
      </c>
      <c r="N577" t="s">
        <v>198</v>
      </c>
    </row>
    <row r="578" spans="1:14" x14ac:dyDescent="0.35">
      <c r="A578" s="28">
        <v>12709</v>
      </c>
      <c r="C578" s="13" t="s">
        <v>199</v>
      </c>
      <c r="D578" t="s">
        <v>15</v>
      </c>
      <c r="E578">
        <v>13.2</v>
      </c>
      <c r="G578">
        <v>13</v>
      </c>
      <c r="H578">
        <f>Table1[[#This Row],[Total electrode weight (mg)]] - IF(ROW()&lt;40, Constants!$B$2 * PI()*(Table1[[#This Row],[Electrode Diameter(mm)]]/(10*2))^2, Constants!$B$4 * PI()*(Table1[[#This Row],[Electrode Diameter(mm)]]/(10*2))^2)</f>
        <v>8.9512394094504568</v>
      </c>
      <c r="I578" s="12">
        <f t="shared" si="9"/>
        <v>8.3246526507889254</v>
      </c>
      <c r="J578">
        <f>Table1[[#This Row],[Coating weight (mg)]]/Constants!$C$2</f>
        <v>7.0661987665101043</v>
      </c>
      <c r="K578">
        <f>(Table1[[#This Row],[Coating weight (mg)]]/1000)/(((Table1[[#This Row],[Electrode Thickness(µm)]]-Constants!$E$4)*10^-4)*Constants!$C$4)</f>
        <v>-5.8884989720917531</v>
      </c>
      <c r="N578" t="s">
        <v>198</v>
      </c>
    </row>
    <row r="579" spans="1:14" x14ac:dyDescent="0.35">
      <c r="A579" s="28">
        <v>12710</v>
      </c>
      <c r="C579" s="13" t="s">
        <v>199</v>
      </c>
      <c r="D579" t="s">
        <v>15</v>
      </c>
      <c r="E579">
        <v>13</v>
      </c>
      <c r="G579">
        <v>13</v>
      </c>
      <c r="H579">
        <f>Table1[[#This Row],[Total electrode weight (mg)]] - IF(ROW()&lt;40, Constants!$B$2 * PI()*(Table1[[#This Row],[Electrode Diameter(mm)]]/(10*2))^2, Constants!$B$4 * PI()*(Table1[[#This Row],[Electrode Diameter(mm)]]/(10*2))^2)</f>
        <v>8.7512394094504575</v>
      </c>
      <c r="I579" s="12">
        <f t="shared" ref="I579:I642" si="10">IF(D579="", "", IF(D579="RnD", H579*0.85, IF(D579="Production", H579*0.93, "Invalid")))</f>
        <v>8.1386526507889254</v>
      </c>
      <c r="J579">
        <f>Table1[[#This Row],[Coating weight (mg)]]/Constants!$C$2</f>
        <v>6.9083167471989064</v>
      </c>
      <c r="K579">
        <f>(Table1[[#This Row],[Coating weight (mg)]]/1000)/(((Table1[[#This Row],[Electrode Thickness(µm)]]-Constants!$E$4)*10^-4)*Constants!$C$4)</f>
        <v>-5.7569306226657542</v>
      </c>
      <c r="N579" t="s">
        <v>198</v>
      </c>
    </row>
    <row r="580" spans="1:14" x14ac:dyDescent="0.35">
      <c r="A580" s="28">
        <v>12711</v>
      </c>
      <c r="C580" s="13" t="s">
        <v>199</v>
      </c>
      <c r="D580" t="s">
        <v>15</v>
      </c>
      <c r="E580">
        <v>13.2</v>
      </c>
      <c r="G580">
        <v>13</v>
      </c>
      <c r="H580">
        <f>Table1[[#This Row],[Total electrode weight (mg)]] - IF(ROW()&lt;40, Constants!$B$2 * PI()*(Table1[[#This Row],[Electrode Diameter(mm)]]/(10*2))^2, Constants!$B$4 * PI()*(Table1[[#This Row],[Electrode Diameter(mm)]]/(10*2))^2)</f>
        <v>8.9512394094504568</v>
      </c>
      <c r="I580" s="12">
        <f t="shared" si="10"/>
        <v>8.3246526507889254</v>
      </c>
      <c r="J580">
        <f>Table1[[#This Row],[Coating weight (mg)]]/Constants!$C$2</f>
        <v>7.0661987665101043</v>
      </c>
      <c r="K580">
        <f>(Table1[[#This Row],[Coating weight (mg)]]/1000)/(((Table1[[#This Row],[Electrode Thickness(µm)]]-Constants!$E$4)*10^-4)*Constants!$C$4)</f>
        <v>-5.8884989720917531</v>
      </c>
      <c r="N580" t="s">
        <v>198</v>
      </c>
    </row>
    <row r="581" spans="1:14" x14ac:dyDescent="0.35">
      <c r="A581" s="28">
        <v>12712</v>
      </c>
      <c r="C581" s="13" t="s">
        <v>199</v>
      </c>
      <c r="D581" t="s">
        <v>15</v>
      </c>
      <c r="E581">
        <v>12.8</v>
      </c>
      <c r="G581">
        <v>13</v>
      </c>
      <c r="H581">
        <f>Table1[[#This Row],[Total electrode weight (mg)]] - IF(ROW()&lt;40, Constants!$B$2 * PI()*(Table1[[#This Row],[Electrode Diameter(mm)]]/(10*2))^2, Constants!$B$4 * PI()*(Table1[[#This Row],[Electrode Diameter(mm)]]/(10*2))^2)</f>
        <v>8.5512394094504582</v>
      </c>
      <c r="I581" s="12">
        <f t="shared" si="10"/>
        <v>7.9526526507889264</v>
      </c>
      <c r="J581">
        <f>Table1[[#This Row],[Coating weight (mg)]]/Constants!$C$2</f>
        <v>6.7504347278877077</v>
      </c>
      <c r="K581">
        <f>(Table1[[#This Row],[Coating weight (mg)]]/1000)/(((Table1[[#This Row],[Electrode Thickness(µm)]]-Constants!$E$4)*10^-4)*Constants!$C$4)</f>
        <v>-5.6253622732397561</v>
      </c>
      <c r="N581" t="s">
        <v>198</v>
      </c>
    </row>
    <row r="582" spans="1:14" x14ac:dyDescent="0.35">
      <c r="A582" s="28">
        <v>12713</v>
      </c>
      <c r="C582" s="13" t="s">
        <v>200</v>
      </c>
      <c r="D582" t="s">
        <v>15</v>
      </c>
      <c r="E582">
        <v>13.11</v>
      </c>
      <c r="G582">
        <v>13</v>
      </c>
      <c r="H582">
        <f>Table1[[#This Row],[Total electrode weight (mg)]] - IF(ROW()&lt;40, Constants!$B$2 * PI()*(Table1[[#This Row],[Electrode Diameter(mm)]]/(10*2))^2, Constants!$B$4 * PI()*(Table1[[#This Row],[Electrode Diameter(mm)]]/(10*2))^2)</f>
        <v>8.861239409450457</v>
      </c>
      <c r="I582" s="12">
        <f t="shared" si="10"/>
        <v>8.240952650788925</v>
      </c>
      <c r="J582">
        <f>Table1[[#This Row],[Coating weight (mg)]]/Constants!$C$2</f>
        <v>6.9951518578200647</v>
      </c>
      <c r="K582">
        <f>(Table1[[#This Row],[Coating weight (mg)]]/1000)/(((Table1[[#This Row],[Electrode Thickness(µm)]]-Constants!$E$4)*10^-4)*Constants!$C$4)</f>
        <v>-5.8292932148500531</v>
      </c>
    </row>
    <row r="583" spans="1:14" x14ac:dyDescent="0.35">
      <c r="A583" s="28">
        <v>12714</v>
      </c>
      <c r="C583" s="13" t="s">
        <v>200</v>
      </c>
      <c r="D583" t="s">
        <v>15</v>
      </c>
      <c r="E583">
        <v>13</v>
      </c>
      <c r="G583">
        <v>13</v>
      </c>
      <c r="H583">
        <f>Table1[[#This Row],[Total electrode weight (mg)]] - IF(ROW()&lt;40, Constants!$B$2 * PI()*(Table1[[#This Row],[Electrode Diameter(mm)]]/(10*2))^2, Constants!$B$4 * PI()*(Table1[[#This Row],[Electrode Diameter(mm)]]/(10*2))^2)</f>
        <v>8.7512394094504575</v>
      </c>
      <c r="I583" s="12">
        <f t="shared" si="10"/>
        <v>8.1386526507889254</v>
      </c>
      <c r="J583">
        <f>Table1[[#This Row],[Coating weight (mg)]]/Constants!$C$2</f>
        <v>6.9083167471989064</v>
      </c>
      <c r="K583">
        <f>(Table1[[#This Row],[Coating weight (mg)]]/1000)/(((Table1[[#This Row],[Electrode Thickness(µm)]]-Constants!$E$4)*10^-4)*Constants!$C$4)</f>
        <v>-5.7569306226657542</v>
      </c>
    </row>
    <row r="584" spans="1:14" x14ac:dyDescent="0.35">
      <c r="A584" s="28">
        <v>12715</v>
      </c>
      <c r="C584" s="13" t="s">
        <v>200</v>
      </c>
      <c r="D584" t="s">
        <v>15</v>
      </c>
      <c r="E584">
        <v>12.83</v>
      </c>
      <c r="G584">
        <v>13</v>
      </c>
      <c r="H584">
        <f>Table1[[#This Row],[Total electrode weight (mg)]] - IF(ROW()&lt;40, Constants!$B$2 * PI()*(Table1[[#This Row],[Electrode Diameter(mm)]]/(10*2))^2, Constants!$B$4 * PI()*(Table1[[#This Row],[Electrode Diameter(mm)]]/(10*2))^2)</f>
        <v>8.5812394094504576</v>
      </c>
      <c r="I584" s="12">
        <f t="shared" si="10"/>
        <v>7.9805526507889262</v>
      </c>
      <c r="J584">
        <f>Table1[[#This Row],[Coating weight (mg)]]/Constants!$C$2</f>
        <v>6.774117030784387</v>
      </c>
      <c r="K584">
        <f>(Table1[[#This Row],[Coating weight (mg)]]/1000)/(((Table1[[#This Row],[Electrode Thickness(µm)]]-Constants!$E$4)*10^-4)*Constants!$C$4)</f>
        <v>-5.6450975256536546</v>
      </c>
    </row>
    <row r="585" spans="1:14" x14ac:dyDescent="0.35">
      <c r="A585" s="28">
        <v>12716</v>
      </c>
      <c r="C585" s="13" t="s">
        <v>200</v>
      </c>
      <c r="D585" t="s">
        <v>15</v>
      </c>
      <c r="E585">
        <v>13.18</v>
      </c>
      <c r="G585">
        <v>13</v>
      </c>
      <c r="H585">
        <f>Table1[[#This Row],[Total electrode weight (mg)]] - IF(ROW()&lt;40, Constants!$B$2 * PI()*(Table1[[#This Row],[Electrode Diameter(mm)]]/(10*2))^2, Constants!$B$4 * PI()*(Table1[[#This Row],[Electrode Diameter(mm)]]/(10*2))^2)</f>
        <v>8.9312394094504572</v>
      </c>
      <c r="I585" s="12">
        <f t="shared" si="10"/>
        <v>8.3060526507889261</v>
      </c>
      <c r="J585">
        <f>Table1[[#This Row],[Coating weight (mg)]]/Constants!$C$2</f>
        <v>7.0504105645789847</v>
      </c>
      <c r="K585">
        <f>(Table1[[#This Row],[Coating weight (mg)]]/1000)/(((Table1[[#This Row],[Electrode Thickness(µm)]]-Constants!$E$4)*10^-4)*Constants!$C$4)</f>
        <v>-5.8753421371491532</v>
      </c>
    </row>
    <row r="586" spans="1:14" x14ac:dyDescent="0.35">
      <c r="A586" s="28">
        <v>12717</v>
      </c>
      <c r="C586" s="13" t="s">
        <v>200</v>
      </c>
      <c r="D586" t="s">
        <v>15</v>
      </c>
      <c r="E586">
        <v>13.15</v>
      </c>
      <c r="G586">
        <v>13</v>
      </c>
      <c r="H586">
        <f>Table1[[#This Row],[Total electrode weight (mg)]] - IF(ROW()&lt;40, Constants!$B$2 * PI()*(Table1[[#This Row],[Electrode Diameter(mm)]]/(10*2))^2, Constants!$B$4 * PI()*(Table1[[#This Row],[Electrode Diameter(mm)]]/(10*2))^2)</f>
        <v>8.9012394094504579</v>
      </c>
      <c r="I586" s="12">
        <f t="shared" si="10"/>
        <v>8.2781526507889271</v>
      </c>
      <c r="J586">
        <f>Table1[[#This Row],[Coating weight (mg)]]/Constants!$C$2</f>
        <v>7.0267282616823055</v>
      </c>
      <c r="K586">
        <f>(Table1[[#This Row],[Coating weight (mg)]]/1000)/(((Table1[[#This Row],[Electrode Thickness(µm)]]-Constants!$E$4)*10^-4)*Constants!$C$4)</f>
        <v>-5.8556068847352538</v>
      </c>
    </row>
    <row r="587" spans="1:14" x14ac:dyDescent="0.35">
      <c r="A587" s="28">
        <v>12718</v>
      </c>
      <c r="C587" s="13" t="s">
        <v>201</v>
      </c>
      <c r="D587" t="s">
        <v>15</v>
      </c>
      <c r="E587">
        <v>12.69</v>
      </c>
      <c r="G587">
        <v>13</v>
      </c>
      <c r="H587">
        <f>Table1[[#This Row],[Total electrode weight (mg)]] - IF(ROW()&lt;40, Constants!$B$2 * PI()*(Table1[[#This Row],[Electrode Diameter(mm)]]/(10*2))^2, Constants!$B$4 * PI()*(Table1[[#This Row],[Electrode Diameter(mm)]]/(10*2))^2)</f>
        <v>8.441239409450457</v>
      </c>
      <c r="I587" s="12">
        <f t="shared" si="10"/>
        <v>7.8503526507889259</v>
      </c>
      <c r="J587">
        <f>Table1[[#This Row],[Coating weight (mg)]]/Constants!$C$2</f>
        <v>6.6635996172665477</v>
      </c>
      <c r="K587">
        <f>(Table1[[#This Row],[Coating weight (mg)]]/1000)/(((Table1[[#This Row],[Electrode Thickness(µm)]]-Constants!$E$4)*10^-4)*Constants!$C$4)</f>
        <v>-5.5529996810554563</v>
      </c>
    </row>
    <row r="588" spans="1:14" x14ac:dyDescent="0.35">
      <c r="A588" s="28">
        <v>12719</v>
      </c>
      <c r="C588" s="13" t="s">
        <v>201</v>
      </c>
      <c r="D588" t="s">
        <v>15</v>
      </c>
      <c r="E588">
        <v>12.27</v>
      </c>
      <c r="G588">
        <v>13</v>
      </c>
      <c r="H588">
        <f>Table1[[#This Row],[Total electrode weight (mg)]] - IF(ROW()&lt;40, Constants!$B$2 * PI()*(Table1[[#This Row],[Electrode Diameter(mm)]]/(10*2))^2, Constants!$B$4 * PI()*(Table1[[#This Row],[Electrode Diameter(mm)]]/(10*2))^2)</f>
        <v>8.0212394094504571</v>
      </c>
      <c r="I588" s="12">
        <f t="shared" si="10"/>
        <v>7.4597526507889258</v>
      </c>
      <c r="J588">
        <f>Table1[[#This Row],[Coating weight (mg)]]/Constants!$C$2</f>
        <v>6.3320473767130299</v>
      </c>
      <c r="K588">
        <f>(Table1[[#This Row],[Coating weight (mg)]]/1000)/(((Table1[[#This Row],[Electrode Thickness(µm)]]-Constants!$E$4)*10^-4)*Constants!$C$4)</f>
        <v>-5.2767061472608576</v>
      </c>
    </row>
    <row r="589" spans="1:14" x14ac:dyDescent="0.35">
      <c r="A589" s="28">
        <v>12720</v>
      </c>
      <c r="C589" s="13" t="s">
        <v>201</v>
      </c>
      <c r="D589" t="s">
        <v>15</v>
      </c>
      <c r="E589">
        <v>12.7</v>
      </c>
      <c r="G589">
        <v>13</v>
      </c>
      <c r="H589">
        <f>Table1[[#This Row],[Total electrode weight (mg)]] - IF(ROW()&lt;40, Constants!$B$2 * PI()*(Table1[[#This Row],[Electrode Diameter(mm)]]/(10*2))^2, Constants!$B$4 * PI()*(Table1[[#This Row],[Electrode Diameter(mm)]]/(10*2))^2)</f>
        <v>8.4512394094504568</v>
      </c>
      <c r="I589" s="12">
        <f t="shared" si="10"/>
        <v>7.8596526507889255</v>
      </c>
      <c r="J589">
        <f>Table1[[#This Row],[Coating weight (mg)]]/Constants!$C$2</f>
        <v>6.6714937182321075</v>
      </c>
      <c r="K589">
        <f>(Table1[[#This Row],[Coating weight (mg)]]/1000)/(((Table1[[#This Row],[Electrode Thickness(µm)]]-Constants!$E$4)*10^-4)*Constants!$C$4)</f>
        <v>-5.5595780985267558</v>
      </c>
    </row>
    <row r="590" spans="1:14" x14ac:dyDescent="0.35">
      <c r="A590" s="28">
        <v>12721</v>
      </c>
      <c r="C590" s="13" t="s">
        <v>201</v>
      </c>
      <c r="D590" t="s">
        <v>15</v>
      </c>
      <c r="E590">
        <v>12.43</v>
      </c>
      <c r="G590">
        <v>13</v>
      </c>
      <c r="H590">
        <f>Table1[[#This Row],[Total electrode weight (mg)]] - IF(ROW()&lt;40, Constants!$B$2 * PI()*(Table1[[#This Row],[Electrode Diameter(mm)]]/(10*2))^2, Constants!$B$4 * PI()*(Table1[[#This Row],[Electrode Diameter(mm)]]/(10*2))^2)</f>
        <v>8.1812394094504572</v>
      </c>
      <c r="I590" s="12">
        <f t="shared" si="10"/>
        <v>7.6085526507889254</v>
      </c>
      <c r="J590">
        <f>Table1[[#This Row],[Coating weight (mg)]]/Constants!$C$2</f>
        <v>6.4583529921619895</v>
      </c>
      <c r="K590">
        <f>(Table1[[#This Row],[Coating weight (mg)]]/1000)/(((Table1[[#This Row],[Electrode Thickness(µm)]]-Constants!$E$4)*10^-4)*Constants!$C$4)</f>
        <v>-5.3819608268016577</v>
      </c>
    </row>
    <row r="591" spans="1:14" x14ac:dyDescent="0.35">
      <c r="A591" s="28">
        <v>12722</v>
      </c>
      <c r="C591" s="13" t="s">
        <v>201</v>
      </c>
      <c r="D591" t="s">
        <v>15</v>
      </c>
      <c r="E591">
        <v>12.74</v>
      </c>
      <c r="G591">
        <v>13</v>
      </c>
      <c r="H591">
        <f>Table1[[#This Row],[Total electrode weight (mg)]] - IF(ROW()&lt;40, Constants!$B$2 * PI()*(Table1[[#This Row],[Electrode Diameter(mm)]]/(10*2))^2, Constants!$B$4 * PI()*(Table1[[#This Row],[Electrode Diameter(mm)]]/(10*2))^2)</f>
        <v>8.4912394094504577</v>
      </c>
      <c r="I591" s="12">
        <f t="shared" si="10"/>
        <v>7.8968526507889258</v>
      </c>
      <c r="J591">
        <f>Table1[[#This Row],[Coating weight (mg)]]/Constants!$C$2</f>
        <v>6.7030701220943483</v>
      </c>
      <c r="K591">
        <f>(Table1[[#This Row],[Coating weight (mg)]]/1000)/(((Table1[[#This Row],[Electrode Thickness(µm)]]-Constants!$E$4)*10^-4)*Constants!$C$4)</f>
        <v>-5.5858917684119556</v>
      </c>
    </row>
    <row r="592" spans="1:14" x14ac:dyDescent="0.35">
      <c r="A592" s="28">
        <v>12723</v>
      </c>
      <c r="C592" s="13" t="s">
        <v>202</v>
      </c>
      <c r="D592" t="s">
        <v>15</v>
      </c>
      <c r="E592">
        <v>13.33</v>
      </c>
      <c r="G592">
        <v>13</v>
      </c>
      <c r="H592">
        <f>Table1[[#This Row],[Total electrode weight (mg)]] - IF(ROW()&lt;40, Constants!$B$2 * PI()*(Table1[[#This Row],[Electrode Diameter(mm)]]/(10*2))^2, Constants!$B$4 * PI()*(Table1[[#This Row],[Electrode Diameter(mm)]]/(10*2))^2)</f>
        <v>9.0812394094504576</v>
      </c>
      <c r="I592" s="12">
        <f t="shared" si="10"/>
        <v>8.445552650788926</v>
      </c>
      <c r="J592">
        <f>Table1[[#This Row],[Coating weight (mg)]]/Constants!$C$2</f>
        <v>7.1688220790623847</v>
      </c>
      <c r="K592">
        <f>(Table1[[#This Row],[Coating weight (mg)]]/1000)/(((Table1[[#This Row],[Electrode Thickness(µm)]]-Constants!$E$4)*10^-4)*Constants!$C$4)</f>
        <v>-5.9740183992186529</v>
      </c>
    </row>
    <row r="593" spans="1:15" x14ac:dyDescent="0.35">
      <c r="A593" s="28">
        <v>12724</v>
      </c>
      <c r="C593" s="13" t="s">
        <v>202</v>
      </c>
      <c r="D593" t="s">
        <v>15</v>
      </c>
      <c r="E593">
        <v>13.23</v>
      </c>
      <c r="G593">
        <v>13</v>
      </c>
      <c r="H593">
        <f>Table1[[#This Row],[Total electrode weight (mg)]] - IF(ROW()&lt;40, Constants!$B$2 * PI()*(Table1[[#This Row],[Electrode Diameter(mm)]]/(10*2))^2, Constants!$B$4 * PI()*(Table1[[#This Row],[Electrode Diameter(mm)]]/(10*2))^2)</f>
        <v>8.981239409450458</v>
      </c>
      <c r="I593" s="12">
        <f t="shared" si="10"/>
        <v>8.3525526507889261</v>
      </c>
      <c r="J593">
        <f>Table1[[#This Row],[Coating weight (mg)]]/Constants!$C$2</f>
        <v>7.0898810694067853</v>
      </c>
      <c r="K593">
        <f>(Table1[[#This Row],[Coating weight (mg)]]/1000)/(((Table1[[#This Row],[Electrode Thickness(µm)]]-Constants!$E$4)*10^-4)*Constants!$C$4)</f>
        <v>-5.9082342245056534</v>
      </c>
    </row>
    <row r="594" spans="1:15" x14ac:dyDescent="0.35">
      <c r="A594" s="28">
        <v>12725</v>
      </c>
      <c r="C594" s="13" t="s">
        <v>202</v>
      </c>
      <c r="D594" t="s">
        <v>15</v>
      </c>
      <c r="E594">
        <v>13.24</v>
      </c>
      <c r="G594">
        <v>13</v>
      </c>
      <c r="H594">
        <f>Table1[[#This Row],[Total electrode weight (mg)]] - IF(ROW()&lt;40, Constants!$B$2 * PI()*(Table1[[#This Row],[Electrode Diameter(mm)]]/(10*2))^2, Constants!$B$4 * PI()*(Table1[[#This Row],[Electrode Diameter(mm)]]/(10*2))^2)</f>
        <v>8.9912394094504577</v>
      </c>
      <c r="I594" s="12">
        <f t="shared" si="10"/>
        <v>8.3618526507889257</v>
      </c>
      <c r="J594">
        <f>Table1[[#This Row],[Coating weight (mg)]]/Constants!$C$2</f>
        <v>7.0977751703723451</v>
      </c>
      <c r="K594">
        <f>(Table1[[#This Row],[Coating weight (mg)]]/1000)/(((Table1[[#This Row],[Electrode Thickness(µm)]]-Constants!$E$4)*10^-4)*Constants!$C$4)</f>
        <v>-5.9148126419769529</v>
      </c>
    </row>
    <row r="595" spans="1:15" x14ac:dyDescent="0.35">
      <c r="A595" s="28">
        <v>12726</v>
      </c>
      <c r="C595" s="13" t="s">
        <v>202</v>
      </c>
      <c r="D595" t="s">
        <v>15</v>
      </c>
      <c r="E595">
        <v>12.29</v>
      </c>
      <c r="G595">
        <v>13</v>
      </c>
      <c r="H595">
        <f>Table1[[#This Row],[Total electrode weight (mg)]] - IF(ROW()&lt;40, Constants!$B$2 * PI()*(Table1[[#This Row],[Electrode Diameter(mm)]]/(10*2))^2, Constants!$B$4 * PI()*(Table1[[#This Row],[Electrode Diameter(mm)]]/(10*2))^2)</f>
        <v>8.0412394094504567</v>
      </c>
      <c r="I595" s="12">
        <f t="shared" si="10"/>
        <v>7.4783526507889251</v>
      </c>
      <c r="J595">
        <f>Table1[[#This Row],[Coating weight (mg)]]/Constants!$C$2</f>
        <v>6.3478355786441494</v>
      </c>
      <c r="K595">
        <f>(Table1[[#This Row],[Coating weight (mg)]]/1000)/(((Table1[[#This Row],[Electrode Thickness(µm)]]-Constants!$E$4)*10^-4)*Constants!$C$4)</f>
        <v>-5.2898629822034575</v>
      </c>
    </row>
    <row r="596" spans="1:15" x14ac:dyDescent="0.35">
      <c r="A596" s="28">
        <v>12727</v>
      </c>
      <c r="C596" s="13" t="s">
        <v>202</v>
      </c>
      <c r="D596" t="s">
        <v>15</v>
      </c>
      <c r="E596">
        <v>13.31</v>
      </c>
      <c r="G596">
        <v>13</v>
      </c>
      <c r="H596">
        <f>Table1[[#This Row],[Total electrode weight (mg)]] - IF(ROW()&lt;40, Constants!$B$2 * PI()*(Table1[[#This Row],[Electrode Diameter(mm)]]/(10*2))^2, Constants!$B$4 * PI()*(Table1[[#This Row],[Electrode Diameter(mm)]]/(10*2))^2)</f>
        <v>9.061239409450458</v>
      </c>
      <c r="I596" s="12">
        <f t="shared" si="10"/>
        <v>8.4269526507889267</v>
      </c>
      <c r="J596">
        <f>Table1[[#This Row],[Coating weight (mg)]]/Constants!$C$2</f>
        <v>7.1530338771312652</v>
      </c>
      <c r="K596">
        <f>(Table1[[#This Row],[Coating weight (mg)]]/1000)/(((Table1[[#This Row],[Electrode Thickness(µm)]]-Constants!$E$4)*10^-4)*Constants!$C$4)</f>
        <v>-5.960861564276053</v>
      </c>
    </row>
    <row r="597" spans="1:15" x14ac:dyDescent="0.35">
      <c r="A597" s="28">
        <v>21821</v>
      </c>
      <c r="C597" s="13" t="s">
        <v>203</v>
      </c>
      <c r="D597" t="s">
        <v>15</v>
      </c>
      <c r="H597">
        <v>200.7</v>
      </c>
      <c r="I597" s="12">
        <v>143.1</v>
      </c>
      <c r="J597">
        <f>Table1[[#This Row],[Coating weight (mg)]]/Constants!$C$2</f>
        <v>158.434606378788</v>
      </c>
      <c r="K597">
        <f>(Table1[[#This Row],[Coating weight (mg)]]/1000)/(((Table1[[#This Row],[Electrode Thickness(µm)]]-Constants!$E$4)*10^-4)*Constants!$C$4)</f>
        <v>-132.02883864898999</v>
      </c>
      <c r="N597" t="s">
        <v>204</v>
      </c>
    </row>
    <row r="598" spans="1:15" x14ac:dyDescent="0.35">
      <c r="A598" s="28">
        <v>21822</v>
      </c>
      <c r="C598" s="13" t="s">
        <v>203</v>
      </c>
      <c r="D598" t="s">
        <v>15</v>
      </c>
      <c r="H598">
        <v>200.7</v>
      </c>
      <c r="I598" s="12">
        <v>143.1</v>
      </c>
      <c r="J598">
        <f>Table1[[#This Row],[Coating weight (mg)]]/Constants!$C$2</f>
        <v>158.434606378788</v>
      </c>
      <c r="K598">
        <f>(Table1[[#This Row],[Coating weight (mg)]]/1000)/(((Table1[[#This Row],[Electrode Thickness(µm)]]-Constants!$E$4)*10^-4)*Constants!$C$4)</f>
        <v>-132.02883864898999</v>
      </c>
      <c r="N598" t="s">
        <v>204</v>
      </c>
    </row>
    <row r="599" spans="1:15" x14ac:dyDescent="0.35">
      <c r="A599" s="28">
        <v>21823</v>
      </c>
      <c r="C599" s="13" t="s">
        <v>203</v>
      </c>
      <c r="D599" t="s">
        <v>15</v>
      </c>
      <c r="H599">
        <v>200.7</v>
      </c>
      <c r="I599" s="12">
        <v>143.1</v>
      </c>
      <c r="J599">
        <f>Table1[[#This Row],[Coating weight (mg)]]/Constants!$C$2</f>
        <v>158.434606378788</v>
      </c>
      <c r="K599">
        <f>(Table1[[#This Row],[Coating weight (mg)]]/1000)/(((Table1[[#This Row],[Electrode Thickness(µm)]]-Constants!$E$4)*10^-4)*Constants!$C$4)</f>
        <v>-132.02883864898999</v>
      </c>
      <c r="N599" t="s">
        <v>204</v>
      </c>
    </row>
    <row r="600" spans="1:15" x14ac:dyDescent="0.35">
      <c r="A600" s="28">
        <v>21829</v>
      </c>
      <c r="C600" s="13" t="s">
        <v>205</v>
      </c>
      <c r="D600" t="s">
        <v>15</v>
      </c>
      <c r="H600">
        <v>186.8</v>
      </c>
      <c r="I600" s="12">
        <v>151.19999999999999</v>
      </c>
      <c r="J600">
        <f>Table1[[#This Row],[Coating weight (mg)]]/Constants!$C$2</f>
        <v>147.46180603665971</v>
      </c>
      <c r="K600">
        <f>(Table1[[#This Row],[Coating weight (mg)]]/1000)/(((Table1[[#This Row],[Electrode Thickness(µm)]]-Constants!$E$4)*10^-4)*Constants!$C$4)</f>
        <v>-122.88483836388308</v>
      </c>
      <c r="N600" t="s">
        <v>204</v>
      </c>
    </row>
    <row r="601" spans="1:15" x14ac:dyDescent="0.35">
      <c r="A601" s="28">
        <v>21830</v>
      </c>
      <c r="C601" s="13" t="s">
        <v>205</v>
      </c>
      <c r="D601" t="s">
        <v>15</v>
      </c>
      <c r="H601">
        <v>186.8</v>
      </c>
      <c r="I601" s="12">
        <v>151.19999999999999</v>
      </c>
      <c r="J601">
        <f>Table1[[#This Row],[Coating weight (mg)]]/Constants!$C$2</f>
        <v>147.46180603665971</v>
      </c>
      <c r="K601">
        <f>(Table1[[#This Row],[Coating weight (mg)]]/1000)/(((Table1[[#This Row],[Electrode Thickness(µm)]]-Constants!$E$4)*10^-4)*Constants!$C$4)</f>
        <v>-122.88483836388308</v>
      </c>
      <c r="N601" t="s">
        <v>204</v>
      </c>
    </row>
    <row r="602" spans="1:15" x14ac:dyDescent="0.35">
      <c r="A602" s="28">
        <v>21831</v>
      </c>
      <c r="C602" s="13" t="s">
        <v>205</v>
      </c>
      <c r="D602" t="s">
        <v>15</v>
      </c>
      <c r="H602">
        <v>186.8</v>
      </c>
      <c r="I602" s="12">
        <v>151.19999999999999</v>
      </c>
      <c r="J602">
        <f>Table1[[#This Row],[Coating weight (mg)]]/Constants!$C$2</f>
        <v>147.46180603665971</v>
      </c>
      <c r="K602">
        <f>(Table1[[#This Row],[Coating weight (mg)]]/1000)/(((Table1[[#This Row],[Electrode Thickness(µm)]]-Constants!$E$4)*10^-4)*Constants!$C$4)</f>
        <v>-122.88483836388308</v>
      </c>
      <c r="N602" t="s">
        <v>204</v>
      </c>
    </row>
    <row r="603" spans="1:15" x14ac:dyDescent="0.35">
      <c r="A603" s="28">
        <v>12728</v>
      </c>
      <c r="C603" s="13" t="s">
        <v>197</v>
      </c>
      <c r="D603" t="s">
        <v>15</v>
      </c>
      <c r="E603">
        <v>14.1</v>
      </c>
      <c r="G603">
        <v>13</v>
      </c>
      <c r="H603">
        <f>Table1[[#This Row],[Total electrode weight (mg)]] - IF(ROW()&lt;40, Constants!$B$2 * PI()*(Table1[[#This Row],[Electrode Diameter(mm)]]/(10*2))^2, Constants!$B$4 * PI()*(Table1[[#This Row],[Electrode Diameter(mm)]]/(10*2))^2)</f>
        <v>9.8512394094504572</v>
      </c>
      <c r="I603" s="12">
        <f t="shared" si="10"/>
        <v>9.1616526507889251</v>
      </c>
      <c r="J603">
        <f>Table1[[#This Row],[Coating weight (mg)]]/Constants!$C$2</f>
        <v>7.7766678534104994</v>
      </c>
      <c r="K603">
        <f>(Table1[[#This Row],[Coating weight (mg)]]/1000)/(((Table1[[#This Row],[Electrode Thickness(µm)]]-Constants!$E$4)*10^-4)*Constants!$C$4)</f>
        <v>-6.4805565445087492</v>
      </c>
    </row>
    <row r="604" spans="1:15" x14ac:dyDescent="0.35">
      <c r="A604" s="28">
        <v>12729</v>
      </c>
      <c r="C604" s="13" t="s">
        <v>197</v>
      </c>
      <c r="D604" t="s">
        <v>15</v>
      </c>
      <c r="E604">
        <v>14</v>
      </c>
      <c r="G604">
        <v>13</v>
      </c>
      <c r="H604">
        <f>Table1[[#This Row],[Total electrode weight (mg)]] - IF(ROW()&lt;40, Constants!$B$2 * PI()*(Table1[[#This Row],[Electrode Diameter(mm)]]/(10*2))^2, Constants!$B$4 * PI()*(Table1[[#This Row],[Electrode Diameter(mm)]]/(10*2))^2)</f>
        <v>9.7512394094504575</v>
      </c>
      <c r="I604" s="12">
        <f t="shared" si="10"/>
        <v>9.0686526507889251</v>
      </c>
      <c r="J604">
        <f>Table1[[#This Row],[Coating weight (mg)]]/Constants!$C$2</f>
        <v>7.6977268437549</v>
      </c>
      <c r="K604">
        <f>(Table1[[#This Row],[Coating weight (mg)]]/1000)/(((Table1[[#This Row],[Electrode Thickness(µm)]]-Constants!$E$4)*10^-4)*Constants!$C$4)</f>
        <v>-6.4147723697957497</v>
      </c>
    </row>
    <row r="605" spans="1:15" x14ac:dyDescent="0.35">
      <c r="A605" s="28">
        <v>12730</v>
      </c>
      <c r="C605" s="13" t="s">
        <v>197</v>
      </c>
      <c r="D605" t="s">
        <v>15</v>
      </c>
      <c r="E605">
        <v>13.8</v>
      </c>
      <c r="G605">
        <v>13</v>
      </c>
      <c r="H605">
        <f>Table1[[#This Row],[Total electrode weight (mg)]] - IF(ROW()&lt;40, Constants!$B$2 * PI()*(Table1[[#This Row],[Electrode Diameter(mm)]]/(10*2))^2, Constants!$B$4 * PI()*(Table1[[#This Row],[Electrode Diameter(mm)]]/(10*2))^2)</f>
        <v>9.5512394094504582</v>
      </c>
      <c r="I605" s="12">
        <f t="shared" si="10"/>
        <v>8.882652650788927</v>
      </c>
      <c r="J605">
        <f>Table1[[#This Row],[Coating weight (mg)]]/Constants!$C$2</f>
        <v>7.5398448244437022</v>
      </c>
      <c r="K605">
        <f>(Table1[[#This Row],[Coating weight (mg)]]/1000)/(((Table1[[#This Row],[Electrode Thickness(µm)]]-Constants!$E$4)*10^-4)*Constants!$C$4)</f>
        <v>-6.2832040203697499</v>
      </c>
    </row>
    <row r="606" spans="1:15" x14ac:dyDescent="0.35">
      <c r="A606" s="28">
        <v>12731</v>
      </c>
      <c r="C606" s="13" t="s">
        <v>197</v>
      </c>
      <c r="D606" t="s">
        <v>15</v>
      </c>
      <c r="E606">
        <v>13.8</v>
      </c>
      <c r="G606">
        <v>13</v>
      </c>
      <c r="H606">
        <f>Table1[[#This Row],[Total electrode weight (mg)]] - IF(ROW()&lt;40, Constants!$B$2 * PI()*(Table1[[#This Row],[Electrode Diameter(mm)]]/(10*2))^2, Constants!$B$4 * PI()*(Table1[[#This Row],[Electrode Diameter(mm)]]/(10*2))^2)</f>
        <v>9.5512394094504582</v>
      </c>
      <c r="I606" s="12">
        <f t="shared" si="10"/>
        <v>8.882652650788927</v>
      </c>
      <c r="J606">
        <f>Table1[[#This Row],[Coating weight (mg)]]/Constants!$C$2</f>
        <v>7.5398448244437022</v>
      </c>
      <c r="K606">
        <f>(Table1[[#This Row],[Coating weight (mg)]]/1000)/(((Table1[[#This Row],[Electrode Thickness(µm)]]-Constants!$E$4)*10^-4)*Constants!$C$4)</f>
        <v>-6.2832040203697499</v>
      </c>
    </row>
    <row r="607" spans="1:15" x14ac:dyDescent="0.35">
      <c r="A607" s="28">
        <v>21841</v>
      </c>
      <c r="C607" s="13" t="s">
        <v>205</v>
      </c>
      <c r="D607" t="s">
        <v>15</v>
      </c>
      <c r="G607">
        <v>13</v>
      </c>
      <c r="H607">
        <v>186.8</v>
      </c>
      <c r="I607" s="12">
        <v>151.19999999999999</v>
      </c>
      <c r="J607">
        <f>Table1[[#This Row],[Coating weight (mg)]]/Constants!$C$2</f>
        <v>147.46180603665971</v>
      </c>
      <c r="K607">
        <f>(Table1[[#This Row],[Coating weight (mg)]]/1000)/(((Table1[[#This Row],[Electrode Thickness(µm)]]-Constants!$E$4)*10^-4)*Constants!$C$4)</f>
        <v>-122.88483836388308</v>
      </c>
      <c r="N607" t="s">
        <v>204</v>
      </c>
    </row>
    <row r="608" spans="1:15" x14ac:dyDescent="0.35">
      <c r="A608" s="28">
        <v>21842</v>
      </c>
      <c r="C608" s="13" t="s">
        <v>205</v>
      </c>
      <c r="D608" t="s">
        <v>15</v>
      </c>
      <c r="G608">
        <v>13</v>
      </c>
      <c r="H608">
        <v>186.8</v>
      </c>
      <c r="I608" s="12">
        <v>151.19999999999999</v>
      </c>
      <c r="J608">
        <f>Table1[[#This Row],[Coating weight (mg)]]/Constants!$C$2</f>
        <v>147.46180603665971</v>
      </c>
      <c r="K608">
        <f>(Table1[[#This Row],[Coating weight (mg)]]/1000)/(((Table1[[#This Row],[Electrode Thickness(µm)]]-Constants!$E$4)*10^-4)*Constants!$C$4)</f>
        <v>-122.88483836388308</v>
      </c>
      <c r="N608" t="s">
        <v>204</v>
      </c>
      <c r="O608" t="s">
        <v>206</v>
      </c>
    </row>
    <row r="609" spans="1:14" x14ac:dyDescent="0.35">
      <c r="A609" s="28">
        <v>21843</v>
      </c>
      <c r="C609" s="13" t="s">
        <v>205</v>
      </c>
      <c r="D609" t="s">
        <v>15</v>
      </c>
      <c r="G609">
        <v>13</v>
      </c>
      <c r="H609">
        <v>186.8</v>
      </c>
      <c r="I609" s="12">
        <v>151.19999999999999</v>
      </c>
      <c r="J609">
        <f>Table1[[#This Row],[Coating weight (mg)]]/Constants!$C$2</f>
        <v>147.46180603665971</v>
      </c>
      <c r="K609">
        <f>(Table1[[#This Row],[Coating weight (mg)]]/1000)/(((Table1[[#This Row],[Electrode Thickness(µm)]]-Constants!$E$4)*10^-4)*Constants!$C$4)</f>
        <v>-122.88483836388308</v>
      </c>
      <c r="N609" t="s">
        <v>204</v>
      </c>
    </row>
    <row r="610" spans="1:14" x14ac:dyDescent="0.35">
      <c r="A610" s="28">
        <v>21844</v>
      </c>
      <c r="C610" s="13" t="s">
        <v>207</v>
      </c>
      <c r="D610" t="s">
        <v>15</v>
      </c>
      <c r="G610">
        <v>13</v>
      </c>
      <c r="H610">
        <v>181.8</v>
      </c>
      <c r="I610" s="12">
        <v>143.1</v>
      </c>
      <c r="J610">
        <f>Table1[[#This Row],[Coating weight (mg)]]/Constants!$C$2</f>
        <v>143.51475555387972</v>
      </c>
      <c r="K610">
        <f>(Table1[[#This Row],[Coating weight (mg)]]/1000)/(((Table1[[#This Row],[Electrode Thickness(µm)]]-Constants!$E$4)*10^-4)*Constants!$C$4)</f>
        <v>-119.5956296282331</v>
      </c>
      <c r="N610" t="s">
        <v>204</v>
      </c>
    </row>
    <row r="611" spans="1:14" x14ac:dyDescent="0.35">
      <c r="A611" s="28">
        <v>21845</v>
      </c>
      <c r="C611" s="13" t="s">
        <v>207</v>
      </c>
      <c r="D611" t="s">
        <v>15</v>
      </c>
      <c r="G611">
        <v>13</v>
      </c>
      <c r="H611">
        <v>181.8</v>
      </c>
      <c r="I611" s="12">
        <v>143.1</v>
      </c>
      <c r="J611">
        <f>Table1[[#This Row],[Coating weight (mg)]]/Constants!$C$2</f>
        <v>143.51475555387972</v>
      </c>
      <c r="K611">
        <f>(Table1[[#This Row],[Coating weight (mg)]]/1000)/(((Table1[[#This Row],[Electrode Thickness(µm)]]-Constants!$E$4)*10^-4)*Constants!$C$4)</f>
        <v>-119.5956296282331</v>
      </c>
      <c r="N611" t="s">
        <v>204</v>
      </c>
    </row>
    <row r="612" spans="1:14" x14ac:dyDescent="0.35">
      <c r="A612" s="28">
        <v>12732</v>
      </c>
      <c r="C612" s="13" t="s">
        <v>208</v>
      </c>
      <c r="D612" t="s">
        <v>15</v>
      </c>
      <c r="E612">
        <v>13.26</v>
      </c>
      <c r="G612">
        <v>13</v>
      </c>
      <c r="H612">
        <f>Table1[[#This Row],[Total electrode weight (mg)]] - IF(ROW()&lt;40, Constants!$B$2 * PI()*(Table1[[#This Row],[Electrode Diameter(mm)]]/(10*2))^2, Constants!$B$4 * PI()*(Table1[[#This Row],[Electrode Diameter(mm)]]/(10*2))^2)</f>
        <v>9.0112394094504573</v>
      </c>
      <c r="I612" s="12">
        <f t="shared" si="10"/>
        <v>8.380452650788925</v>
      </c>
      <c r="J612">
        <f>Table1[[#This Row],[Coating weight (mg)]]/Constants!$C$2</f>
        <v>7.1135633723034646</v>
      </c>
      <c r="K612">
        <f>(Table1[[#This Row],[Coating weight (mg)]]/1000)/(((Table1[[#This Row],[Electrode Thickness(µm)]]-Constants!$E$4)*10^-4)*Constants!$C$4)</f>
        <v>-5.9279694769195528</v>
      </c>
    </row>
    <row r="613" spans="1:14" x14ac:dyDescent="0.35">
      <c r="A613" s="28">
        <v>12733</v>
      </c>
      <c r="C613" s="13" t="s">
        <v>208</v>
      </c>
      <c r="D613" t="s">
        <v>15</v>
      </c>
      <c r="E613">
        <v>13.25</v>
      </c>
      <c r="G613">
        <v>13</v>
      </c>
      <c r="H613">
        <f>Table1[[#This Row],[Total electrode weight (mg)]] - IF(ROW()&lt;40, Constants!$B$2 * PI()*(Table1[[#This Row],[Electrode Diameter(mm)]]/(10*2))^2, Constants!$B$4 * PI()*(Table1[[#This Row],[Electrode Diameter(mm)]]/(10*2))^2)</f>
        <v>9.0012394094504575</v>
      </c>
      <c r="I613" s="12">
        <f t="shared" si="10"/>
        <v>8.3711526507889253</v>
      </c>
      <c r="J613">
        <f>Table1[[#This Row],[Coating weight (mg)]]/Constants!$C$2</f>
        <v>7.1056692713379048</v>
      </c>
      <c r="K613">
        <f>(Table1[[#This Row],[Coating weight (mg)]]/1000)/(((Table1[[#This Row],[Electrode Thickness(µm)]]-Constants!$E$4)*10^-4)*Constants!$C$4)</f>
        <v>-5.9213910594482533</v>
      </c>
    </row>
    <row r="614" spans="1:14" x14ac:dyDescent="0.35">
      <c r="A614" s="28">
        <v>12734</v>
      </c>
      <c r="C614" s="13" t="s">
        <v>208</v>
      </c>
      <c r="D614" t="s">
        <v>15</v>
      </c>
      <c r="E614">
        <v>13.51</v>
      </c>
      <c r="G614">
        <v>13</v>
      </c>
      <c r="H614">
        <f>Table1[[#This Row],[Total electrode weight (mg)]] - IF(ROW()&lt;40, Constants!$B$2 * PI()*(Table1[[#This Row],[Electrode Diameter(mm)]]/(10*2))^2, Constants!$B$4 * PI()*(Table1[[#This Row],[Electrode Diameter(mm)]]/(10*2))^2)</f>
        <v>9.2612394094504573</v>
      </c>
      <c r="I614" s="12">
        <f t="shared" si="10"/>
        <v>8.6129526507889249</v>
      </c>
      <c r="J614">
        <f>Table1[[#This Row],[Coating weight (mg)]]/Constants!$C$2</f>
        <v>7.310915896442463</v>
      </c>
      <c r="K614">
        <f>(Table1[[#This Row],[Coating weight (mg)]]/1000)/(((Table1[[#This Row],[Electrode Thickness(µm)]]-Constants!$E$4)*10^-4)*Constants!$C$4)</f>
        <v>-6.0924299137020519</v>
      </c>
    </row>
    <row r="615" spans="1:14" x14ac:dyDescent="0.35">
      <c r="A615" s="28">
        <v>12735</v>
      </c>
      <c r="C615" s="13" t="s">
        <v>208</v>
      </c>
      <c r="D615" t="s">
        <v>15</v>
      </c>
      <c r="E615">
        <v>13.48</v>
      </c>
      <c r="G615">
        <v>13</v>
      </c>
      <c r="H615">
        <f>Table1[[#This Row],[Total electrode weight (mg)]] - IF(ROW()&lt;40, Constants!$B$2 * PI()*(Table1[[#This Row],[Electrode Diameter(mm)]]/(10*2))^2, Constants!$B$4 * PI()*(Table1[[#This Row],[Electrode Diameter(mm)]]/(10*2))^2)</f>
        <v>9.231239409450458</v>
      </c>
      <c r="I615" s="12">
        <f t="shared" si="10"/>
        <v>8.585052650788926</v>
      </c>
      <c r="J615">
        <f>Table1[[#This Row],[Coating weight (mg)]]/Constants!$C$2</f>
        <v>7.2872335935457837</v>
      </c>
      <c r="K615">
        <f>(Table1[[#This Row],[Coating weight (mg)]]/1000)/(((Table1[[#This Row],[Electrode Thickness(µm)]]-Constants!$E$4)*10^-4)*Constants!$C$4)</f>
        <v>-6.0726946612881525</v>
      </c>
    </row>
    <row r="616" spans="1:14" x14ac:dyDescent="0.35">
      <c r="A616" s="28">
        <v>12736</v>
      </c>
      <c r="C616" s="13" t="s">
        <v>208</v>
      </c>
      <c r="D616" t="s">
        <v>15</v>
      </c>
      <c r="E616">
        <v>12.94</v>
      </c>
      <c r="G616">
        <v>13</v>
      </c>
      <c r="H616">
        <f>Table1[[#This Row],[Total electrode weight (mg)]] - IF(ROW()&lt;40, Constants!$B$2 * PI()*(Table1[[#This Row],[Electrode Diameter(mm)]]/(10*2))^2, Constants!$B$4 * PI()*(Table1[[#This Row],[Electrode Diameter(mm)]]/(10*2))^2)</f>
        <v>8.691239409450457</v>
      </c>
      <c r="I616" s="12">
        <f t="shared" si="10"/>
        <v>8.0828526507889258</v>
      </c>
      <c r="J616">
        <f>Table1[[#This Row],[Coating weight (mg)]]/Constants!$C$2</f>
        <v>6.8609521414055461</v>
      </c>
      <c r="K616">
        <f>(Table1[[#This Row],[Coating weight (mg)]]/1000)/(((Table1[[#This Row],[Electrode Thickness(µm)]]-Constants!$E$4)*10^-4)*Constants!$C$4)</f>
        <v>-5.7174601178379545</v>
      </c>
    </row>
    <row r="617" spans="1:14" x14ac:dyDescent="0.35">
      <c r="A617" s="28">
        <v>12737</v>
      </c>
      <c r="C617" s="13" t="s">
        <v>209</v>
      </c>
      <c r="D617" t="s">
        <v>15</v>
      </c>
      <c r="E617">
        <v>11.93</v>
      </c>
      <c r="G617">
        <v>13</v>
      </c>
      <c r="H617">
        <f>Table1[[#This Row],[Total electrode weight (mg)]] - IF(ROW()&lt;40, Constants!$B$2 * PI()*(Table1[[#This Row],[Electrode Diameter(mm)]]/(10*2))^2, Constants!$B$4 * PI()*(Table1[[#This Row],[Electrode Diameter(mm)]]/(10*2))^2)</f>
        <v>7.6812394094504572</v>
      </c>
      <c r="I617" s="12">
        <f t="shared" si="10"/>
        <v>7.1435526507889255</v>
      </c>
      <c r="J617">
        <f>Table1[[#This Row],[Coating weight (mg)]]/Constants!$C$2</f>
        <v>6.0636479438839928</v>
      </c>
      <c r="K617">
        <f>(Table1[[#This Row],[Coating weight (mg)]]/1000)/(((Table1[[#This Row],[Electrode Thickness(µm)]]-Constants!$E$4)*10^-4)*Constants!$C$4)</f>
        <v>-5.0530399532366594</v>
      </c>
    </row>
    <row r="618" spans="1:14" x14ac:dyDescent="0.35">
      <c r="A618" s="28">
        <v>12738</v>
      </c>
      <c r="C618" s="13" t="s">
        <v>209</v>
      </c>
      <c r="D618" t="s">
        <v>15</v>
      </c>
      <c r="E618">
        <v>12.02</v>
      </c>
      <c r="G618">
        <v>13</v>
      </c>
      <c r="H618">
        <f>Table1[[#This Row],[Total electrode weight (mg)]] - IF(ROW()&lt;40, Constants!$B$2 * PI()*(Table1[[#This Row],[Electrode Diameter(mm)]]/(10*2))^2, Constants!$B$4 * PI()*(Table1[[#This Row],[Electrode Diameter(mm)]]/(10*2))^2)</f>
        <v>7.7712394094504571</v>
      </c>
      <c r="I618" s="12">
        <f t="shared" si="10"/>
        <v>7.2272526507889259</v>
      </c>
      <c r="J618">
        <f>Table1[[#This Row],[Coating weight (mg)]]/Constants!$C$2</f>
        <v>6.1346948525740315</v>
      </c>
      <c r="K618">
        <f>(Table1[[#This Row],[Coating weight (mg)]]/1000)/(((Table1[[#This Row],[Electrode Thickness(µm)]]-Constants!$E$4)*10^-4)*Constants!$C$4)</f>
        <v>-5.1122457104783594</v>
      </c>
    </row>
    <row r="619" spans="1:14" x14ac:dyDescent="0.35">
      <c r="A619" s="28">
        <v>12739</v>
      </c>
      <c r="C619" s="13" t="s">
        <v>209</v>
      </c>
      <c r="D619" t="s">
        <v>15</v>
      </c>
      <c r="E619">
        <v>12.16</v>
      </c>
      <c r="G619">
        <v>13</v>
      </c>
      <c r="H619">
        <f>Table1[[#This Row],[Total electrode weight (mg)]] - IF(ROW()&lt;40, Constants!$B$2 * PI()*(Table1[[#This Row],[Electrode Diameter(mm)]]/(10*2))^2, Constants!$B$4 * PI()*(Table1[[#This Row],[Electrode Diameter(mm)]]/(10*2))^2)</f>
        <v>7.9112394094504577</v>
      </c>
      <c r="I619" s="12">
        <f t="shared" si="10"/>
        <v>7.3574526507889262</v>
      </c>
      <c r="J619">
        <f>Table1[[#This Row],[Coating weight (mg)]]/Constants!$C$2</f>
        <v>6.2452122660918716</v>
      </c>
      <c r="K619">
        <f>(Table1[[#This Row],[Coating weight (mg)]]/1000)/(((Table1[[#This Row],[Electrode Thickness(µm)]]-Constants!$E$4)*10^-4)*Constants!$C$4)</f>
        <v>-5.2043435550765595</v>
      </c>
    </row>
    <row r="620" spans="1:14" x14ac:dyDescent="0.35">
      <c r="A620" s="28">
        <v>12740</v>
      </c>
      <c r="C620" s="13" t="s">
        <v>209</v>
      </c>
      <c r="D620" t="s">
        <v>15</v>
      </c>
      <c r="E620">
        <v>12.12</v>
      </c>
      <c r="G620">
        <v>13</v>
      </c>
      <c r="H620">
        <f>Table1[[#This Row],[Total electrode weight (mg)]] - IF(ROW()&lt;40, Constants!$B$2 * PI()*(Table1[[#This Row],[Electrode Diameter(mm)]]/(10*2))^2, Constants!$B$4 * PI()*(Table1[[#This Row],[Electrode Diameter(mm)]]/(10*2))^2)</f>
        <v>7.8712394094504567</v>
      </c>
      <c r="I620" s="12">
        <f t="shared" si="10"/>
        <v>7.320252650788925</v>
      </c>
      <c r="J620">
        <f>Table1[[#This Row],[Coating weight (mg)]]/Constants!$C$2</f>
        <v>6.2136358622296308</v>
      </c>
      <c r="K620">
        <f>(Table1[[#This Row],[Coating weight (mg)]]/1000)/(((Table1[[#This Row],[Electrode Thickness(µm)]]-Constants!$E$4)*10^-4)*Constants!$C$4)</f>
        <v>-5.178029885191358</v>
      </c>
    </row>
    <row r="621" spans="1:14" x14ac:dyDescent="0.35">
      <c r="A621" s="28">
        <v>12741</v>
      </c>
      <c r="C621" s="13" t="s">
        <v>209</v>
      </c>
      <c r="D621" t="s">
        <v>15</v>
      </c>
      <c r="E621">
        <v>12.2</v>
      </c>
      <c r="G621">
        <v>13</v>
      </c>
      <c r="H621">
        <f>Table1[[#This Row],[Total electrode weight (mg)]] - IF(ROW()&lt;40, Constants!$B$2 * PI()*(Table1[[#This Row],[Electrode Diameter(mm)]]/(10*2))^2, Constants!$B$4 * PI()*(Table1[[#This Row],[Electrode Diameter(mm)]]/(10*2))^2)</f>
        <v>7.9512394094504568</v>
      </c>
      <c r="I621" s="12">
        <f t="shared" si="10"/>
        <v>7.3946526507889256</v>
      </c>
      <c r="J621">
        <f>Table1[[#This Row],[Coating weight (mg)]]/Constants!$C$2</f>
        <v>6.2767886699541107</v>
      </c>
      <c r="K621">
        <f>(Table1[[#This Row],[Coating weight (mg)]]/1000)/(((Table1[[#This Row],[Electrode Thickness(µm)]]-Constants!$E$4)*10^-4)*Constants!$C$4)</f>
        <v>-5.2306572249617576</v>
      </c>
    </row>
    <row r="622" spans="1:14" x14ac:dyDescent="0.35">
      <c r="A622" s="28">
        <v>12742</v>
      </c>
      <c r="C622" s="13" t="s">
        <v>210</v>
      </c>
      <c r="D622" t="s">
        <v>15</v>
      </c>
      <c r="E622">
        <v>13.01</v>
      </c>
      <c r="G622">
        <v>13</v>
      </c>
      <c r="H622">
        <f>Table1[[#This Row],[Total electrode weight (mg)]] - IF(ROW()&lt;40, Constants!$B$2 * PI()*(Table1[[#This Row],[Electrode Diameter(mm)]]/(10*2))^2, Constants!$B$4 * PI()*(Table1[[#This Row],[Electrode Diameter(mm)]]/(10*2))^2)</f>
        <v>8.7612394094504573</v>
      </c>
      <c r="I622" s="12">
        <f t="shared" si="10"/>
        <v>8.1479526507889251</v>
      </c>
      <c r="J622">
        <f>Table1[[#This Row],[Coating weight (mg)]]/Constants!$C$2</f>
        <v>6.9162108481644662</v>
      </c>
      <c r="K622">
        <f>(Table1[[#This Row],[Coating weight (mg)]]/1000)/(((Table1[[#This Row],[Electrode Thickness(µm)]]-Constants!$E$4)*10^-4)*Constants!$C$4)</f>
        <v>-5.7635090401370537</v>
      </c>
    </row>
    <row r="623" spans="1:14" x14ac:dyDescent="0.35">
      <c r="A623" s="28">
        <v>12743</v>
      </c>
      <c r="C623" s="13" t="s">
        <v>210</v>
      </c>
      <c r="D623" t="s">
        <v>15</v>
      </c>
      <c r="E623">
        <v>12.29</v>
      </c>
      <c r="G623">
        <v>13</v>
      </c>
      <c r="H623">
        <f>Table1[[#This Row],[Total electrode weight (mg)]] - IF(ROW()&lt;40, Constants!$B$2 * PI()*(Table1[[#This Row],[Electrode Diameter(mm)]]/(10*2))^2, Constants!$B$4 * PI()*(Table1[[#This Row],[Electrode Diameter(mm)]]/(10*2))^2)</f>
        <v>8.0412394094504567</v>
      </c>
      <c r="I623" s="12">
        <f t="shared" si="10"/>
        <v>7.4783526507889251</v>
      </c>
      <c r="J623">
        <f>Table1[[#This Row],[Coating weight (mg)]]/Constants!$C$2</f>
        <v>6.3478355786441494</v>
      </c>
      <c r="K623">
        <f>(Table1[[#This Row],[Coating weight (mg)]]/1000)/(((Table1[[#This Row],[Electrode Thickness(µm)]]-Constants!$E$4)*10^-4)*Constants!$C$4)</f>
        <v>-5.2898629822034575</v>
      </c>
    </row>
    <row r="624" spans="1:14" x14ac:dyDescent="0.35">
      <c r="A624" s="28">
        <v>12744</v>
      </c>
      <c r="C624" s="13" t="s">
        <v>210</v>
      </c>
      <c r="D624" t="s">
        <v>15</v>
      </c>
      <c r="E624">
        <v>12.55</v>
      </c>
      <c r="G624">
        <v>13</v>
      </c>
      <c r="H624">
        <f>Table1[[#This Row],[Total electrode weight (mg)]] - IF(ROW()&lt;40, Constants!$B$2 * PI()*(Table1[[#This Row],[Electrode Diameter(mm)]]/(10*2))^2, Constants!$B$4 * PI()*(Table1[[#This Row],[Electrode Diameter(mm)]]/(10*2))^2)</f>
        <v>8.3012394094504582</v>
      </c>
      <c r="I624" s="12">
        <f t="shared" si="10"/>
        <v>7.7201526507889264</v>
      </c>
      <c r="J624">
        <f>Table1[[#This Row],[Coating weight (mg)]]/Constants!$C$2</f>
        <v>6.5530822037487093</v>
      </c>
      <c r="K624">
        <f>(Table1[[#This Row],[Coating weight (mg)]]/1000)/(((Table1[[#This Row],[Electrode Thickness(µm)]]-Constants!$E$4)*10^-4)*Constants!$C$4)</f>
        <v>-5.460901836457257</v>
      </c>
    </row>
    <row r="625" spans="1:11" x14ac:dyDescent="0.35">
      <c r="A625" s="28">
        <v>12745</v>
      </c>
      <c r="C625" s="13" t="s">
        <v>210</v>
      </c>
      <c r="D625" t="s">
        <v>15</v>
      </c>
      <c r="E625">
        <v>13.11</v>
      </c>
      <c r="G625">
        <v>13</v>
      </c>
      <c r="H625">
        <f>Table1[[#This Row],[Total electrode weight (mg)]] - IF(ROW()&lt;40, Constants!$B$2 * PI()*(Table1[[#This Row],[Electrode Diameter(mm)]]/(10*2))^2, Constants!$B$4 * PI()*(Table1[[#This Row],[Electrode Diameter(mm)]]/(10*2))^2)</f>
        <v>8.861239409450457</v>
      </c>
      <c r="I625" s="12">
        <f t="shared" si="10"/>
        <v>8.240952650788925</v>
      </c>
      <c r="J625">
        <f>Table1[[#This Row],[Coating weight (mg)]]/Constants!$C$2</f>
        <v>6.9951518578200647</v>
      </c>
      <c r="K625">
        <f>(Table1[[#This Row],[Coating weight (mg)]]/1000)/(((Table1[[#This Row],[Electrode Thickness(µm)]]-Constants!$E$4)*10^-4)*Constants!$C$4)</f>
        <v>-5.8292932148500531</v>
      </c>
    </row>
    <row r="626" spans="1:11" x14ac:dyDescent="0.35">
      <c r="A626" s="28">
        <v>12746</v>
      </c>
      <c r="C626" s="13" t="s">
        <v>210</v>
      </c>
      <c r="D626" t="s">
        <v>15</v>
      </c>
      <c r="E626">
        <v>13.06</v>
      </c>
      <c r="G626">
        <v>13</v>
      </c>
      <c r="H626">
        <f>Table1[[#This Row],[Total electrode weight (mg)]] - IF(ROW()&lt;40, Constants!$B$2 * PI()*(Table1[[#This Row],[Electrode Diameter(mm)]]/(10*2))^2, Constants!$B$4 * PI()*(Table1[[#This Row],[Electrode Diameter(mm)]]/(10*2))^2)</f>
        <v>8.811239409450458</v>
      </c>
      <c r="I626" s="12">
        <f t="shared" si="10"/>
        <v>8.1944526507889268</v>
      </c>
      <c r="J626">
        <f>Table1[[#This Row],[Coating weight (mg)]]/Constants!$C$2</f>
        <v>6.9556813529922659</v>
      </c>
      <c r="K626">
        <f>(Table1[[#This Row],[Coating weight (mg)]]/1000)/(((Table1[[#This Row],[Electrode Thickness(µm)]]-Constants!$E$4)*10^-4)*Constants!$C$4)</f>
        <v>-5.7964011274935547</v>
      </c>
    </row>
    <row r="627" spans="1:11" x14ac:dyDescent="0.35">
      <c r="A627" s="28">
        <v>12747</v>
      </c>
      <c r="C627" s="13" t="s">
        <v>211</v>
      </c>
      <c r="D627" t="s">
        <v>15</v>
      </c>
      <c r="E627">
        <v>13.27</v>
      </c>
      <c r="G627">
        <v>13</v>
      </c>
      <c r="H627">
        <f>Table1[[#This Row],[Total electrode weight (mg)]] - IF(ROW()&lt;40, Constants!$B$2 * PI()*(Table1[[#This Row],[Electrode Diameter(mm)]]/(10*2))^2, Constants!$B$4 * PI()*(Table1[[#This Row],[Electrode Diameter(mm)]]/(10*2))^2)</f>
        <v>9.0212394094504571</v>
      </c>
      <c r="I627" s="12">
        <f t="shared" si="10"/>
        <v>8.3897526507889264</v>
      </c>
      <c r="J627">
        <f>Table1[[#This Row],[Coating weight (mg)]]/Constants!$C$2</f>
        <v>7.1214574732690243</v>
      </c>
      <c r="K627">
        <f>(Table1[[#This Row],[Coating weight (mg)]]/1000)/(((Table1[[#This Row],[Electrode Thickness(µm)]]-Constants!$E$4)*10^-4)*Constants!$C$4)</f>
        <v>-5.9345478943908523</v>
      </c>
    </row>
    <row r="628" spans="1:11" x14ac:dyDescent="0.35">
      <c r="A628" s="28">
        <v>12748</v>
      </c>
      <c r="C628" s="13" t="s">
        <v>211</v>
      </c>
      <c r="D628" t="s">
        <v>15</v>
      </c>
      <c r="E628">
        <v>13.23</v>
      </c>
      <c r="G628">
        <v>13</v>
      </c>
      <c r="H628">
        <f>Table1[[#This Row],[Total electrode weight (mg)]] - IF(ROW()&lt;40, Constants!$B$2 * PI()*(Table1[[#This Row],[Electrode Diameter(mm)]]/(10*2))^2, Constants!$B$4 * PI()*(Table1[[#This Row],[Electrode Diameter(mm)]]/(10*2))^2)</f>
        <v>8.981239409450458</v>
      </c>
      <c r="I628" s="12">
        <f t="shared" si="10"/>
        <v>8.3525526507889261</v>
      </c>
      <c r="J628">
        <f>Table1[[#This Row],[Coating weight (mg)]]/Constants!$C$2</f>
        <v>7.0898810694067853</v>
      </c>
      <c r="K628">
        <f>(Table1[[#This Row],[Coating weight (mg)]]/1000)/(((Table1[[#This Row],[Electrode Thickness(µm)]]-Constants!$E$4)*10^-4)*Constants!$C$4)</f>
        <v>-5.9082342245056534</v>
      </c>
    </row>
    <row r="629" spans="1:11" x14ac:dyDescent="0.35">
      <c r="A629" s="28">
        <v>12749</v>
      </c>
      <c r="C629" s="13" t="s">
        <v>211</v>
      </c>
      <c r="D629" t="s">
        <v>15</v>
      </c>
      <c r="E629">
        <v>13.23</v>
      </c>
      <c r="G629">
        <v>13</v>
      </c>
      <c r="H629">
        <f>Table1[[#This Row],[Total electrode weight (mg)]] - IF(ROW()&lt;40, Constants!$B$2 * PI()*(Table1[[#This Row],[Electrode Diameter(mm)]]/(10*2))^2, Constants!$B$4 * PI()*(Table1[[#This Row],[Electrode Diameter(mm)]]/(10*2))^2)</f>
        <v>8.981239409450458</v>
      </c>
      <c r="I629" s="12">
        <f t="shared" si="10"/>
        <v>8.3525526507889261</v>
      </c>
      <c r="J629">
        <f>Table1[[#This Row],[Coating weight (mg)]]/Constants!$C$2</f>
        <v>7.0898810694067853</v>
      </c>
      <c r="K629">
        <f>(Table1[[#This Row],[Coating weight (mg)]]/1000)/(((Table1[[#This Row],[Electrode Thickness(µm)]]-Constants!$E$4)*10^-4)*Constants!$C$4)</f>
        <v>-5.9082342245056534</v>
      </c>
    </row>
    <row r="630" spans="1:11" x14ac:dyDescent="0.35">
      <c r="A630" s="28">
        <v>12750</v>
      </c>
      <c r="C630" s="13" t="s">
        <v>212</v>
      </c>
      <c r="D630" t="s">
        <v>15</v>
      </c>
      <c r="E630">
        <v>22.5</v>
      </c>
      <c r="G630">
        <v>13</v>
      </c>
      <c r="H630">
        <f>Table1[[#This Row],[Total electrode weight (mg)]] - IF(ROW()&lt;40, Constants!$B$2 * PI()*(Table1[[#This Row],[Electrode Diameter(mm)]]/(10*2))^2, Constants!$B$4 * PI()*(Table1[[#This Row],[Electrode Diameter(mm)]]/(10*2))^2)</f>
        <v>18.251239409450456</v>
      </c>
      <c r="I630" s="12">
        <f t="shared" si="10"/>
        <v>16.973652650788924</v>
      </c>
      <c r="J630">
        <f>Table1[[#This Row],[Coating weight (mg)]]/Constants!$C$2</f>
        <v>14.407712664480849</v>
      </c>
      <c r="K630">
        <f>(Table1[[#This Row],[Coating weight (mg)]]/1000)/(((Table1[[#This Row],[Electrode Thickness(µm)]]-Constants!$E$4)*10^-4)*Constants!$C$4)</f>
        <v>-12.006427220400704</v>
      </c>
    </row>
    <row r="631" spans="1:11" x14ac:dyDescent="0.35">
      <c r="A631" s="5">
        <v>12751</v>
      </c>
      <c r="C631" s="13" t="s">
        <v>212</v>
      </c>
      <c r="D631" t="s">
        <v>15</v>
      </c>
      <c r="E631">
        <v>20.9</v>
      </c>
      <c r="G631">
        <v>13</v>
      </c>
      <c r="H631">
        <f>Table1[[#This Row],[Total electrode weight (mg)]] - IF(ROW()&lt;40, Constants!$B$2 * PI()*(Table1[[#This Row],[Electrode Diameter(mm)]]/(10*2))^2, Constants!$B$4 * PI()*(Table1[[#This Row],[Electrode Diameter(mm)]]/(10*2))^2)</f>
        <v>16.651239409450454</v>
      </c>
      <c r="I631" s="12">
        <f t="shared" si="10"/>
        <v>15.485652650788923</v>
      </c>
      <c r="J631">
        <f>Table1[[#This Row],[Coating weight (mg)]]/Constants!$C$2</f>
        <v>13.144656509991258</v>
      </c>
      <c r="K631">
        <f>(Table1[[#This Row],[Coating weight (mg)]]/1000)/(((Table1[[#This Row],[Electrode Thickness(µm)]]-Constants!$E$4)*10^-4)*Constants!$C$4)</f>
        <v>-10.953880424992713</v>
      </c>
    </row>
    <row r="632" spans="1:11" x14ac:dyDescent="0.35">
      <c r="A632" s="5">
        <v>12752</v>
      </c>
      <c r="C632" s="13" t="s">
        <v>212</v>
      </c>
      <c r="D632" t="s">
        <v>15</v>
      </c>
      <c r="E632">
        <v>21.9</v>
      </c>
      <c r="G632">
        <v>13</v>
      </c>
      <c r="H632">
        <f>Table1[[#This Row],[Total electrode weight (mg)]] - IF(ROW()&lt;40, Constants!$B$2 * PI()*(Table1[[#This Row],[Electrode Diameter(mm)]]/(10*2))^2, Constants!$B$4 * PI()*(Table1[[#This Row],[Electrode Diameter(mm)]]/(10*2))^2)</f>
        <v>17.651239409450454</v>
      </c>
      <c r="I632" s="12">
        <f t="shared" si="10"/>
        <v>16.415652650788925</v>
      </c>
      <c r="J632">
        <f>Table1[[#This Row],[Coating weight (mg)]]/Constants!$C$2</f>
        <v>13.934066606547251</v>
      </c>
      <c r="K632">
        <f>(Table1[[#This Row],[Coating weight (mg)]]/1000)/(((Table1[[#This Row],[Electrode Thickness(µm)]]-Constants!$E$4)*10^-4)*Constants!$C$4)</f>
        <v>-11.611722172122708</v>
      </c>
    </row>
    <row r="633" spans="1:11" x14ac:dyDescent="0.35">
      <c r="A633" s="5">
        <v>12753</v>
      </c>
      <c r="C633" s="13" t="s">
        <v>212</v>
      </c>
      <c r="D633" t="s">
        <v>15</v>
      </c>
      <c r="E633">
        <v>21.4</v>
      </c>
      <c r="G633">
        <v>13</v>
      </c>
      <c r="H633">
        <f>Table1[[#This Row],[Total electrode weight (mg)]] - IF(ROW()&lt;40, Constants!$B$2 * PI()*(Table1[[#This Row],[Electrode Diameter(mm)]]/(10*2))^2, Constants!$B$4 * PI()*(Table1[[#This Row],[Electrode Diameter(mm)]]/(10*2))^2)</f>
        <v>17.151239409450454</v>
      </c>
      <c r="I633" s="12">
        <f t="shared" si="10"/>
        <v>15.950652650788923</v>
      </c>
      <c r="J633">
        <f>Table1[[#This Row],[Coating weight (mg)]]/Constants!$C$2</f>
        <v>13.539361558269254</v>
      </c>
      <c r="K633">
        <f>(Table1[[#This Row],[Coating weight (mg)]]/1000)/(((Table1[[#This Row],[Electrode Thickness(µm)]]-Constants!$E$4)*10^-4)*Constants!$C$4)</f>
        <v>-11.282801298557711</v>
      </c>
    </row>
    <row r="634" spans="1:11" x14ac:dyDescent="0.35">
      <c r="A634" s="5">
        <v>12754</v>
      </c>
      <c r="C634" s="13" t="s">
        <v>212</v>
      </c>
      <c r="D634" t="s">
        <v>15</v>
      </c>
      <c r="E634">
        <v>21.7</v>
      </c>
      <c r="G634">
        <v>13</v>
      </c>
      <c r="H634">
        <f>Table1[[#This Row],[Total electrode weight (mg)]] - IF(ROW()&lt;40, Constants!$B$2 * PI()*(Table1[[#This Row],[Electrode Diameter(mm)]]/(10*2))^2, Constants!$B$4 * PI()*(Table1[[#This Row],[Electrode Diameter(mm)]]/(10*2))^2)</f>
        <v>17.451239409450459</v>
      </c>
      <c r="I634" s="12">
        <f t="shared" si="10"/>
        <v>16.229652650788928</v>
      </c>
      <c r="J634">
        <f>Table1[[#This Row],[Coating weight (mg)]]/Constants!$C$2</f>
        <v>13.776184587236056</v>
      </c>
      <c r="K634">
        <f>(Table1[[#This Row],[Coating weight (mg)]]/1000)/(((Table1[[#This Row],[Electrode Thickness(µm)]]-Constants!$E$4)*10^-4)*Constants!$C$4)</f>
        <v>-11.480153822696712</v>
      </c>
    </row>
    <row r="635" spans="1:11" x14ac:dyDescent="0.35">
      <c r="A635" s="28">
        <v>12755</v>
      </c>
      <c r="C635" s="30" t="s">
        <v>213</v>
      </c>
      <c r="D635" t="s">
        <v>15</v>
      </c>
      <c r="E635">
        <v>24.8</v>
      </c>
      <c r="G635">
        <v>13</v>
      </c>
      <c r="H635">
        <f>Table1[[#This Row],[Total electrode weight (mg)]] - IF(ROW()&lt;40, Constants!$B$2 * PI()*(Table1[[#This Row],[Electrode Diameter(mm)]]/(10*2))^2, Constants!$B$4 * PI()*(Table1[[#This Row],[Electrode Diameter(mm)]]/(10*2))^2)</f>
        <v>20.55123940945046</v>
      </c>
      <c r="I635" s="12">
        <f t="shared" si="10"/>
        <v>19.112652650788927</v>
      </c>
      <c r="J635">
        <f>Table1[[#This Row],[Coating weight (mg)]]/Constants!$C$2</f>
        <v>16.223355886559638</v>
      </c>
      <c r="K635">
        <f>(Table1[[#This Row],[Coating weight (mg)]]/1000)/(((Table1[[#This Row],[Electrode Thickness(µm)]]-Constants!$E$4)*10^-4)*Constants!$C$4)</f>
        <v>-13.519463238799696</v>
      </c>
    </row>
    <row r="636" spans="1:11" x14ac:dyDescent="0.35">
      <c r="A636" s="28">
        <v>12756</v>
      </c>
      <c r="C636" s="29" t="s">
        <v>213</v>
      </c>
      <c r="D636" t="s">
        <v>15</v>
      </c>
      <c r="E636">
        <v>24.3</v>
      </c>
      <c r="G636">
        <v>13</v>
      </c>
      <c r="H636">
        <f>Table1[[#This Row],[Total electrode weight (mg)]] - IF(ROW()&lt;40, Constants!$B$2 * PI()*(Table1[[#This Row],[Electrode Diameter(mm)]]/(10*2))^2, Constants!$B$4 * PI()*(Table1[[#This Row],[Electrode Diameter(mm)]]/(10*2))^2)</f>
        <v>20.05123940945046</v>
      </c>
      <c r="I636" s="12">
        <f t="shared" si="10"/>
        <v>18.647652650788928</v>
      </c>
      <c r="J636">
        <f>Table1[[#This Row],[Coating weight (mg)]]/Constants!$C$2</f>
        <v>15.828650838281641</v>
      </c>
      <c r="K636">
        <f>(Table1[[#This Row],[Coating weight (mg)]]/1000)/(((Table1[[#This Row],[Electrode Thickness(µm)]]-Constants!$E$4)*10^-4)*Constants!$C$4)</f>
        <v>-13.1905423652347</v>
      </c>
    </row>
    <row r="637" spans="1:11" x14ac:dyDescent="0.35">
      <c r="A637" s="28">
        <v>12757</v>
      </c>
      <c r="C637" s="29" t="s">
        <v>213</v>
      </c>
      <c r="D637" t="s">
        <v>15</v>
      </c>
      <c r="E637">
        <v>23.9</v>
      </c>
      <c r="G637">
        <v>13</v>
      </c>
      <c r="H637">
        <f>Table1[[#This Row],[Total electrode weight (mg)]] - IF(ROW()&lt;40, Constants!$B$2 * PI()*(Table1[[#This Row],[Electrode Diameter(mm)]]/(10*2))^2, Constants!$B$4 * PI()*(Table1[[#This Row],[Electrode Diameter(mm)]]/(10*2))^2)</f>
        <v>19.651239409450454</v>
      </c>
      <c r="I637" s="12">
        <f t="shared" si="10"/>
        <v>18.275652650788924</v>
      </c>
      <c r="J637">
        <f>Table1[[#This Row],[Coating weight (mg)]]/Constants!$C$2</f>
        <v>15.512886799659238</v>
      </c>
      <c r="K637">
        <f>(Table1[[#This Row],[Coating weight (mg)]]/1000)/(((Table1[[#This Row],[Electrode Thickness(µm)]]-Constants!$E$4)*10^-4)*Constants!$C$4)</f>
        <v>-12.927405666382697</v>
      </c>
    </row>
    <row r="638" spans="1:11" x14ac:dyDescent="0.35">
      <c r="A638" s="28">
        <v>12758</v>
      </c>
      <c r="C638" s="30" t="s">
        <v>213</v>
      </c>
      <c r="D638" t="s">
        <v>15</v>
      </c>
      <c r="E638">
        <v>23.1</v>
      </c>
      <c r="G638">
        <v>13</v>
      </c>
      <c r="H638">
        <f>Table1[[#This Row],[Total electrode weight (mg)]] - IF(ROW()&lt;40, Constants!$B$2 * PI()*(Table1[[#This Row],[Electrode Diameter(mm)]]/(10*2))^2, Constants!$B$4 * PI()*(Table1[[#This Row],[Electrode Diameter(mm)]]/(10*2))^2)</f>
        <v>18.851239409450457</v>
      </c>
      <c r="I638" s="12">
        <f t="shared" si="10"/>
        <v>17.531652650788924</v>
      </c>
      <c r="J638">
        <f>Table1[[#This Row],[Coating weight (mg)]]/Constants!$C$2</f>
        <v>14.881358722414445</v>
      </c>
      <c r="K638">
        <f>(Table1[[#This Row],[Coating weight (mg)]]/1000)/(((Table1[[#This Row],[Electrode Thickness(µm)]]-Constants!$E$4)*10^-4)*Constants!$C$4)</f>
        <v>-12.401132268678705</v>
      </c>
    </row>
    <row r="639" spans="1:11" x14ac:dyDescent="0.35">
      <c r="A639" s="28">
        <v>12759</v>
      </c>
      <c r="C639" s="30" t="s">
        <v>213</v>
      </c>
      <c r="D639" t="s">
        <v>15</v>
      </c>
      <c r="E639">
        <v>24.6</v>
      </c>
      <c r="G639">
        <v>13</v>
      </c>
      <c r="H639">
        <f>Table1[[#This Row],[Total electrode weight (mg)]] - IF(ROW()&lt;40, Constants!$B$2 * PI()*(Table1[[#This Row],[Electrode Diameter(mm)]]/(10*2))^2, Constants!$B$4 * PI()*(Table1[[#This Row],[Electrode Diameter(mm)]]/(10*2))^2)</f>
        <v>20.351239409450457</v>
      </c>
      <c r="I639" s="12">
        <f t="shared" si="10"/>
        <v>18.926652650788927</v>
      </c>
      <c r="J639">
        <f>Table1[[#This Row],[Coating weight (mg)]]/Constants!$C$2</f>
        <v>16.065473867248436</v>
      </c>
      <c r="K639">
        <f>(Table1[[#This Row],[Coating weight (mg)]]/1000)/(((Table1[[#This Row],[Electrode Thickness(µm)]]-Constants!$E$4)*10^-4)*Constants!$C$4)</f>
        <v>-13.387894889373696</v>
      </c>
    </row>
    <row r="640" spans="1:11" x14ac:dyDescent="0.35">
      <c r="A640" s="28">
        <v>12760</v>
      </c>
      <c r="C640" s="30" t="s">
        <v>214</v>
      </c>
      <c r="D640" t="s">
        <v>15</v>
      </c>
      <c r="E640">
        <v>23.8</v>
      </c>
      <c r="G640">
        <v>13</v>
      </c>
      <c r="H640">
        <f>Table1[[#This Row],[Total electrode weight (mg)]] - IF(ROW()&lt;40, Constants!$B$2 * PI()*(Table1[[#This Row],[Electrode Diameter(mm)]]/(10*2))^2, Constants!$B$4 * PI()*(Table1[[#This Row],[Electrode Diameter(mm)]]/(10*2))^2)</f>
        <v>19.55123940945046</v>
      </c>
      <c r="I640" s="12">
        <f t="shared" si="10"/>
        <v>18.182652650788928</v>
      </c>
      <c r="J640">
        <f>Table1[[#This Row],[Coating weight (mg)]]/Constants!$C$2</f>
        <v>15.433945790003644</v>
      </c>
      <c r="K640">
        <f>(Table1[[#This Row],[Coating weight (mg)]]/1000)/(((Table1[[#This Row],[Electrode Thickness(µm)]]-Constants!$E$4)*10^-4)*Constants!$C$4)</f>
        <v>-12.861621491669702</v>
      </c>
    </row>
    <row r="641" spans="1:11" x14ac:dyDescent="0.35">
      <c r="A641" s="28">
        <v>12761</v>
      </c>
      <c r="C641" s="30" t="s">
        <v>214</v>
      </c>
      <c r="D641" t="s">
        <v>15</v>
      </c>
      <c r="E641">
        <v>24.51</v>
      </c>
      <c r="G641">
        <v>13</v>
      </c>
      <c r="H641">
        <f>Table1[[#This Row],[Total electrode weight (mg)]] - IF(ROW()&lt;40, Constants!$B$2 * PI()*(Table1[[#This Row],[Electrode Diameter(mm)]]/(10*2))^2, Constants!$B$4 * PI()*(Table1[[#This Row],[Electrode Diameter(mm)]]/(10*2))^2)</f>
        <v>20.261239409450461</v>
      </c>
      <c r="I641" s="12">
        <f t="shared" si="10"/>
        <v>18.842952650788931</v>
      </c>
      <c r="J641">
        <f>Table1[[#This Row],[Coating weight (mg)]]/Constants!$C$2</f>
        <v>15.994426958558401</v>
      </c>
      <c r="K641">
        <f>(Table1[[#This Row],[Coating weight (mg)]]/1000)/(((Table1[[#This Row],[Electrode Thickness(µm)]]-Constants!$E$4)*10^-4)*Constants!$C$4)</f>
        <v>-13.328689132131998</v>
      </c>
    </row>
    <row r="642" spans="1:11" x14ac:dyDescent="0.35">
      <c r="A642" s="28">
        <v>12762</v>
      </c>
      <c r="C642" s="30" t="s">
        <v>214</v>
      </c>
      <c r="D642" t="s">
        <v>15</v>
      </c>
      <c r="E642">
        <v>24.7</v>
      </c>
      <c r="G642">
        <v>13</v>
      </c>
      <c r="H642">
        <f>Table1[[#This Row],[Total electrode weight (mg)]] - IF(ROW()&lt;40, Constants!$B$2 * PI()*(Table1[[#This Row],[Electrode Diameter(mm)]]/(10*2))^2, Constants!$B$4 * PI()*(Table1[[#This Row],[Electrode Diameter(mm)]]/(10*2))^2)</f>
        <v>20.451239409450459</v>
      </c>
      <c r="I642" s="12">
        <f t="shared" si="10"/>
        <v>19.019652650788927</v>
      </c>
      <c r="J642">
        <f>Table1[[#This Row],[Coating weight (mg)]]/Constants!$C$2</f>
        <v>16.144414876904037</v>
      </c>
      <c r="K642">
        <f>(Table1[[#This Row],[Coating weight (mg)]]/1000)/(((Table1[[#This Row],[Electrode Thickness(µm)]]-Constants!$E$4)*10^-4)*Constants!$C$4)</f>
        <v>-13.453679064086696</v>
      </c>
    </row>
    <row r="643" spans="1:11" x14ac:dyDescent="0.35">
      <c r="A643" s="28">
        <v>12763</v>
      </c>
      <c r="C643" s="30" t="s">
        <v>214</v>
      </c>
      <c r="D643" t="s">
        <v>15</v>
      </c>
      <c r="E643">
        <v>23.85</v>
      </c>
      <c r="G643">
        <v>13</v>
      </c>
      <c r="H643">
        <f>Table1[[#This Row],[Total electrode weight (mg)]] - IF(ROW()&lt;40, Constants!$B$2 * PI()*(Table1[[#This Row],[Electrode Diameter(mm)]]/(10*2))^2, Constants!$B$4 * PI()*(Table1[[#This Row],[Electrode Diameter(mm)]]/(10*2))^2)</f>
        <v>19.601239409450457</v>
      </c>
      <c r="I643" s="12">
        <f t="shared" ref="I643:I689" si="11">IF(D643="", "", IF(D643="RnD", H643*0.85, IF(D643="Production", H643*0.93, "Invalid")))</f>
        <v>18.229152650788926</v>
      </c>
      <c r="J643">
        <f>Table1[[#This Row],[Coating weight (mg)]]/Constants!$C$2</f>
        <v>15.473416294831441</v>
      </c>
      <c r="K643">
        <f>(Table1[[#This Row],[Coating weight (mg)]]/1000)/(((Table1[[#This Row],[Electrode Thickness(µm)]]-Constants!$E$4)*10^-4)*Constants!$C$4)</f>
        <v>-12.894513579026199</v>
      </c>
    </row>
    <row r="644" spans="1:11" x14ac:dyDescent="0.35">
      <c r="A644" s="28">
        <v>12764</v>
      </c>
      <c r="C644" s="30" t="s">
        <v>214</v>
      </c>
      <c r="D644" t="s">
        <v>15</v>
      </c>
      <c r="E644">
        <v>24.74</v>
      </c>
      <c r="G644">
        <v>13</v>
      </c>
      <c r="H644">
        <f>Table1[[#This Row],[Total electrode weight (mg)]] - IF(ROW()&lt;40, Constants!$B$2 * PI()*(Table1[[#This Row],[Electrode Diameter(mm)]]/(10*2))^2, Constants!$B$4 * PI()*(Table1[[#This Row],[Electrode Diameter(mm)]]/(10*2))^2)</f>
        <v>20.491239409450458</v>
      </c>
      <c r="I644" s="12">
        <f t="shared" si="11"/>
        <v>19.056852650788926</v>
      </c>
      <c r="J644">
        <f>Table1[[#This Row],[Coating weight (mg)]]/Constants!$C$2</f>
        <v>16.175991280766276</v>
      </c>
      <c r="K644">
        <f>(Table1[[#This Row],[Coating weight (mg)]]/1000)/(((Table1[[#This Row],[Electrode Thickness(µm)]]-Constants!$E$4)*10^-4)*Constants!$C$4)</f>
        <v>-13.479992733971896</v>
      </c>
    </row>
    <row r="645" spans="1:11" x14ac:dyDescent="0.35">
      <c r="A645" s="28">
        <v>12765</v>
      </c>
      <c r="C645" s="13" t="s">
        <v>215</v>
      </c>
      <c r="D645" t="s">
        <v>15</v>
      </c>
      <c r="E645">
        <v>13.36</v>
      </c>
      <c r="G645">
        <v>13</v>
      </c>
      <c r="H645">
        <f>Table1[[#This Row],[Total electrode weight (mg)]] - IF(ROW()&lt;40, Constants!$B$2 * PI()*(Table1[[#This Row],[Electrode Diameter(mm)]]/(10*2))^2, Constants!$B$4 * PI()*(Table1[[#This Row],[Electrode Diameter(mm)]]/(10*2))^2)</f>
        <v>9.111239409450457</v>
      </c>
      <c r="I645" s="12">
        <f t="shared" si="11"/>
        <v>8.473452650788925</v>
      </c>
      <c r="J645">
        <f>Table1[[#This Row],[Coating weight (mg)]]/Constants!$C$2</f>
        <v>7.1925043819590639</v>
      </c>
      <c r="K645">
        <f>(Table1[[#This Row],[Coating weight (mg)]]/1000)/(((Table1[[#This Row],[Electrode Thickness(µm)]]-Constants!$E$4)*10^-4)*Constants!$C$4)</f>
        <v>-5.9937536516325514</v>
      </c>
    </row>
    <row r="646" spans="1:11" x14ac:dyDescent="0.35">
      <c r="A646" s="28">
        <v>12766</v>
      </c>
      <c r="C646" s="13" t="s">
        <v>215</v>
      </c>
      <c r="D646" t="s">
        <v>15</v>
      </c>
      <c r="E646">
        <v>13.86</v>
      </c>
      <c r="G646">
        <v>13</v>
      </c>
      <c r="H646">
        <f>Table1[[#This Row],[Total electrode weight (mg)]] - IF(ROW()&lt;40, Constants!$B$2 * PI()*(Table1[[#This Row],[Electrode Diameter(mm)]]/(10*2))^2, Constants!$B$4 * PI()*(Table1[[#This Row],[Electrode Diameter(mm)]]/(10*2))^2)</f>
        <v>9.611239409450457</v>
      </c>
      <c r="I646" s="12">
        <f t="shared" si="11"/>
        <v>8.9384526507889248</v>
      </c>
      <c r="J646">
        <f>Table1[[#This Row],[Coating weight (mg)]]/Constants!$C$2</f>
        <v>7.5872094302370607</v>
      </c>
      <c r="K646">
        <f>(Table1[[#This Row],[Coating weight (mg)]]/1000)/(((Table1[[#This Row],[Electrode Thickness(µm)]]-Constants!$E$4)*10^-4)*Constants!$C$4)</f>
        <v>-6.3226745251975496</v>
      </c>
    </row>
    <row r="647" spans="1:11" x14ac:dyDescent="0.35">
      <c r="A647" s="28">
        <v>12767</v>
      </c>
      <c r="C647" s="13" t="s">
        <v>215</v>
      </c>
      <c r="D647" t="s">
        <v>15</v>
      </c>
      <c r="E647">
        <v>13.6</v>
      </c>
      <c r="G647">
        <v>13</v>
      </c>
      <c r="H647">
        <f>Table1[[#This Row],[Total electrode weight (mg)]] - IF(ROW()&lt;40, Constants!$B$2 * PI()*(Table1[[#This Row],[Electrode Diameter(mm)]]/(10*2))^2, Constants!$B$4 * PI()*(Table1[[#This Row],[Electrode Diameter(mm)]]/(10*2))^2)</f>
        <v>9.3512394094504572</v>
      </c>
      <c r="I647" s="12">
        <f t="shared" si="11"/>
        <v>8.6966526507889252</v>
      </c>
      <c r="J647">
        <f>Table1[[#This Row],[Coating weight (mg)]]/Constants!$C$2</f>
        <v>7.3819628051325026</v>
      </c>
      <c r="K647">
        <f>(Table1[[#This Row],[Coating weight (mg)]]/1000)/(((Table1[[#This Row],[Electrode Thickness(µm)]]-Constants!$E$4)*10^-4)*Constants!$C$4)</f>
        <v>-6.151635670943751</v>
      </c>
    </row>
    <row r="648" spans="1:11" x14ac:dyDescent="0.35">
      <c r="A648" s="28">
        <v>12768</v>
      </c>
      <c r="C648" s="13" t="s">
        <v>215</v>
      </c>
      <c r="D648" t="s">
        <v>15</v>
      </c>
      <c r="E648">
        <v>13.63</v>
      </c>
      <c r="G648">
        <v>13</v>
      </c>
      <c r="H648">
        <f>Table1[[#This Row],[Total electrode weight (mg)]] - IF(ROW()&lt;40, Constants!$B$2 * PI()*(Table1[[#This Row],[Electrode Diameter(mm)]]/(10*2))^2, Constants!$B$4 * PI()*(Table1[[#This Row],[Electrode Diameter(mm)]]/(10*2))^2)</f>
        <v>9.3812394094504583</v>
      </c>
      <c r="I648" s="12">
        <f t="shared" si="11"/>
        <v>8.7245526507889259</v>
      </c>
      <c r="J648">
        <f>Table1[[#This Row],[Coating weight (mg)]]/Constants!$C$2</f>
        <v>7.4056451080291827</v>
      </c>
      <c r="K648">
        <f>(Table1[[#This Row],[Coating weight (mg)]]/1000)/(((Table1[[#This Row],[Electrode Thickness(µm)]]-Constants!$E$4)*10^-4)*Constants!$C$4)</f>
        <v>-6.1713709233576513</v>
      </c>
    </row>
    <row r="649" spans="1:11" x14ac:dyDescent="0.35">
      <c r="A649" s="28">
        <v>12769</v>
      </c>
      <c r="C649" s="13" t="s">
        <v>215</v>
      </c>
      <c r="D649" t="s">
        <v>15</v>
      </c>
      <c r="E649">
        <v>13.65</v>
      </c>
      <c r="G649">
        <v>13</v>
      </c>
      <c r="H649">
        <f>Table1[[#This Row],[Total electrode weight (mg)]] - IF(ROW()&lt;40, Constants!$B$2 * PI()*(Table1[[#This Row],[Electrode Diameter(mm)]]/(10*2))^2, Constants!$B$4 * PI()*(Table1[[#This Row],[Electrode Diameter(mm)]]/(10*2))^2)</f>
        <v>9.4012394094504579</v>
      </c>
      <c r="I649" s="12">
        <f t="shared" si="11"/>
        <v>8.743152650788927</v>
      </c>
      <c r="J649">
        <f>Table1[[#This Row],[Coating weight (mg)]]/Constants!$C$2</f>
        <v>7.4214333099603023</v>
      </c>
      <c r="K649">
        <f>(Table1[[#This Row],[Coating weight (mg)]]/1000)/(((Table1[[#This Row],[Electrode Thickness(µm)]]-Constants!$E$4)*10^-4)*Constants!$C$4)</f>
        <v>-6.184527758300252</v>
      </c>
    </row>
    <row r="650" spans="1:11" x14ac:dyDescent="0.35">
      <c r="A650" s="28">
        <v>12770</v>
      </c>
      <c r="C650" s="13" t="s">
        <v>216</v>
      </c>
      <c r="D650" t="s">
        <v>15</v>
      </c>
      <c r="E650">
        <v>12.62</v>
      </c>
      <c r="G650">
        <v>13</v>
      </c>
      <c r="H650">
        <f>Table1[[#This Row],[Total electrode weight (mg)]] - IF(ROW()&lt;40, Constants!$B$2 * PI()*(Table1[[#This Row],[Electrode Diameter(mm)]]/(10*2))^2, Constants!$B$4 * PI()*(Table1[[#This Row],[Electrode Diameter(mm)]]/(10*2))^2)</f>
        <v>8.3712394094504567</v>
      </c>
      <c r="I650" s="12">
        <f t="shared" si="11"/>
        <v>7.7852526507889248</v>
      </c>
      <c r="J650">
        <f>Table1[[#This Row],[Coating weight (mg)]]/Constants!$C$2</f>
        <v>6.6083409105076276</v>
      </c>
      <c r="K650">
        <f>(Table1[[#This Row],[Coating weight (mg)]]/1000)/(((Table1[[#This Row],[Electrode Thickness(µm)]]-Constants!$E$4)*10^-4)*Constants!$C$4)</f>
        <v>-5.5069507587563562</v>
      </c>
    </row>
    <row r="651" spans="1:11" x14ac:dyDescent="0.35">
      <c r="A651" s="28">
        <v>12771</v>
      </c>
      <c r="C651" s="13" t="s">
        <v>216</v>
      </c>
      <c r="D651" t="s">
        <v>15</v>
      </c>
      <c r="E651">
        <v>13.07</v>
      </c>
      <c r="G651">
        <v>13</v>
      </c>
      <c r="H651">
        <f>Table1[[#This Row],[Total electrode weight (mg)]] - IF(ROW()&lt;40, Constants!$B$2 * PI()*(Table1[[#This Row],[Electrode Diameter(mm)]]/(10*2))^2, Constants!$B$4 * PI()*(Table1[[#This Row],[Electrode Diameter(mm)]]/(10*2))^2)</f>
        <v>8.8212394094504578</v>
      </c>
      <c r="I651" s="12">
        <f t="shared" si="11"/>
        <v>8.2037526507889265</v>
      </c>
      <c r="J651">
        <f>Table1[[#This Row],[Coating weight (mg)]]/Constants!$C$2</f>
        <v>6.9635754539578256</v>
      </c>
      <c r="K651">
        <f>(Table1[[#This Row],[Coating weight (mg)]]/1000)/(((Table1[[#This Row],[Electrode Thickness(µm)]]-Constants!$E$4)*10^-4)*Constants!$C$4)</f>
        <v>-5.8029795449648542</v>
      </c>
    </row>
    <row r="652" spans="1:11" x14ac:dyDescent="0.35">
      <c r="A652" s="28">
        <v>12772</v>
      </c>
      <c r="C652" s="13" t="s">
        <v>216</v>
      </c>
      <c r="D652" t="s">
        <v>15</v>
      </c>
      <c r="E652">
        <v>12.63</v>
      </c>
      <c r="G652">
        <v>13</v>
      </c>
      <c r="H652">
        <f>Table1[[#This Row],[Total electrode weight (mg)]] - IF(ROW()&lt;40, Constants!$B$2 * PI()*(Table1[[#This Row],[Electrode Diameter(mm)]]/(10*2))^2, Constants!$B$4 * PI()*(Table1[[#This Row],[Electrode Diameter(mm)]]/(10*2))^2)</f>
        <v>8.3812394094504583</v>
      </c>
      <c r="I652" s="12">
        <f t="shared" si="11"/>
        <v>7.7945526507889262</v>
      </c>
      <c r="J652">
        <f>Table1[[#This Row],[Coating weight (mg)]]/Constants!$C$2</f>
        <v>6.6162350114731892</v>
      </c>
      <c r="K652">
        <f>(Table1[[#This Row],[Coating weight (mg)]]/1000)/(((Table1[[#This Row],[Electrode Thickness(µm)]]-Constants!$E$4)*10^-4)*Constants!$C$4)</f>
        <v>-5.5135291762276566</v>
      </c>
    </row>
    <row r="653" spans="1:11" x14ac:dyDescent="0.35">
      <c r="A653" s="28">
        <v>12773</v>
      </c>
      <c r="C653" s="13" t="s">
        <v>216</v>
      </c>
      <c r="D653" t="s">
        <v>15</v>
      </c>
      <c r="E653">
        <v>13.21</v>
      </c>
      <c r="G653">
        <v>13</v>
      </c>
      <c r="H653">
        <f>Table1[[#This Row],[Total electrode weight (mg)]] - IF(ROW()&lt;40, Constants!$B$2 * PI()*(Table1[[#This Row],[Electrode Diameter(mm)]]/(10*2))^2, Constants!$B$4 * PI()*(Table1[[#This Row],[Electrode Diameter(mm)]]/(10*2))^2)</f>
        <v>8.9612394094504584</v>
      </c>
      <c r="I653" s="12">
        <f t="shared" si="11"/>
        <v>8.3339526507889268</v>
      </c>
      <c r="J653">
        <f>Table1[[#This Row],[Coating weight (mg)]]/Constants!$C$2</f>
        <v>7.0740928674756658</v>
      </c>
      <c r="K653">
        <f>(Table1[[#This Row],[Coating weight (mg)]]/1000)/(((Table1[[#This Row],[Electrode Thickness(µm)]]-Constants!$E$4)*10^-4)*Constants!$C$4)</f>
        <v>-5.8950773895630544</v>
      </c>
    </row>
    <row r="654" spans="1:11" x14ac:dyDescent="0.35">
      <c r="A654" s="28">
        <v>12774</v>
      </c>
      <c r="C654" s="13" t="s">
        <v>216</v>
      </c>
      <c r="D654" t="s">
        <v>15</v>
      </c>
      <c r="E654">
        <v>13.12</v>
      </c>
      <c r="G654">
        <v>13</v>
      </c>
      <c r="H654">
        <f>Table1[[#This Row],[Total electrode weight (mg)]] - IF(ROW()&lt;40, Constants!$B$2 * PI()*(Table1[[#This Row],[Electrode Diameter(mm)]]/(10*2))^2, Constants!$B$4 * PI()*(Table1[[#This Row],[Electrode Diameter(mm)]]/(10*2))^2)</f>
        <v>8.8712394094504567</v>
      </c>
      <c r="I654" s="12">
        <f t="shared" si="11"/>
        <v>8.2502526507889247</v>
      </c>
      <c r="J654">
        <f>Table1[[#This Row],[Coating weight (mg)]]/Constants!$C$2</f>
        <v>7.0030459587856253</v>
      </c>
      <c r="K654">
        <f>(Table1[[#This Row],[Coating weight (mg)]]/1000)/(((Table1[[#This Row],[Electrode Thickness(µm)]]-Constants!$E$4)*10^-4)*Constants!$C$4)</f>
        <v>-5.8358716323213535</v>
      </c>
    </row>
    <row r="655" spans="1:11" x14ac:dyDescent="0.35">
      <c r="A655" s="28">
        <v>12775</v>
      </c>
      <c r="C655" s="13" t="s">
        <v>217</v>
      </c>
      <c r="D655" t="s">
        <v>15</v>
      </c>
      <c r="E655">
        <v>13.41</v>
      </c>
      <c r="G655">
        <v>13</v>
      </c>
      <c r="H655">
        <f>Table1[[#This Row],[Total electrode weight (mg)]] - IF(ROW()&lt;40, Constants!$B$2 * PI()*(Table1[[#This Row],[Electrode Diameter(mm)]]/(10*2))^2, Constants!$B$4 * PI()*(Table1[[#This Row],[Electrode Diameter(mm)]]/(10*2))^2)</f>
        <v>9.1612394094504577</v>
      </c>
      <c r="I655" s="12">
        <f t="shared" si="11"/>
        <v>8.5199526507889267</v>
      </c>
      <c r="J655">
        <f>Table1[[#This Row],[Coating weight (mg)]]/Constants!$C$2</f>
        <v>7.2319748867868636</v>
      </c>
      <c r="K655">
        <f>(Table1[[#This Row],[Coating weight (mg)]]/1000)/(((Table1[[#This Row],[Electrode Thickness(µm)]]-Constants!$E$4)*10^-4)*Constants!$C$4)</f>
        <v>-6.0266457389890524</v>
      </c>
    </row>
    <row r="656" spans="1:11" x14ac:dyDescent="0.35">
      <c r="A656" s="28">
        <v>12776</v>
      </c>
      <c r="C656" s="13" t="s">
        <v>217</v>
      </c>
      <c r="D656" t="s">
        <v>15</v>
      </c>
      <c r="E656">
        <v>13.06</v>
      </c>
      <c r="G656">
        <v>13</v>
      </c>
      <c r="H656">
        <f>Table1[[#This Row],[Total electrode weight (mg)]] - IF(ROW()&lt;40, Constants!$B$2 * PI()*(Table1[[#This Row],[Electrode Diameter(mm)]]/(10*2))^2, Constants!$B$4 * PI()*(Table1[[#This Row],[Electrode Diameter(mm)]]/(10*2))^2)</f>
        <v>8.811239409450458</v>
      </c>
      <c r="I656" s="12">
        <f t="shared" si="11"/>
        <v>8.1944526507889268</v>
      </c>
      <c r="J656">
        <f>Table1[[#This Row],[Coating weight (mg)]]/Constants!$C$2</f>
        <v>6.9556813529922659</v>
      </c>
      <c r="K656">
        <f>(Table1[[#This Row],[Coating weight (mg)]]/1000)/(((Table1[[#This Row],[Electrode Thickness(µm)]]-Constants!$E$4)*10^-4)*Constants!$C$4)</f>
        <v>-5.7964011274935547</v>
      </c>
    </row>
    <row r="657" spans="1:11" x14ac:dyDescent="0.35">
      <c r="A657" s="28">
        <v>12777</v>
      </c>
      <c r="C657" s="13" t="s">
        <v>217</v>
      </c>
      <c r="D657" t="s">
        <v>15</v>
      </c>
      <c r="E657">
        <v>13.62</v>
      </c>
      <c r="G657">
        <v>13</v>
      </c>
      <c r="H657">
        <f>Table1[[#This Row],[Total electrode weight (mg)]] - IF(ROW()&lt;40, Constants!$B$2 * PI()*(Table1[[#This Row],[Electrode Diameter(mm)]]/(10*2))^2, Constants!$B$4 * PI()*(Table1[[#This Row],[Electrode Diameter(mm)]]/(10*2))^2)</f>
        <v>9.3712394094504567</v>
      </c>
      <c r="I657" s="12">
        <f t="shared" si="11"/>
        <v>8.7152526507889245</v>
      </c>
      <c r="J657">
        <f>Table1[[#This Row],[Coating weight (mg)]]/Constants!$C$2</f>
        <v>7.3977510070636221</v>
      </c>
      <c r="K657">
        <f>(Table1[[#This Row],[Coating weight (mg)]]/1000)/(((Table1[[#This Row],[Electrode Thickness(µm)]]-Constants!$E$4)*10^-4)*Constants!$C$4)</f>
        <v>-6.16479250588635</v>
      </c>
    </row>
    <row r="658" spans="1:11" x14ac:dyDescent="0.35">
      <c r="A658" s="28">
        <v>12778</v>
      </c>
      <c r="C658" s="13" t="s">
        <v>217</v>
      </c>
      <c r="D658" t="s">
        <v>15</v>
      </c>
      <c r="E658">
        <v>13.3</v>
      </c>
      <c r="G658">
        <v>13</v>
      </c>
      <c r="H658">
        <f>Table1[[#This Row],[Total electrode weight (mg)]] - IF(ROW()&lt;40, Constants!$B$2 * PI()*(Table1[[#This Row],[Electrode Diameter(mm)]]/(10*2))^2, Constants!$B$4 * PI()*(Table1[[#This Row],[Electrode Diameter(mm)]]/(10*2))^2)</f>
        <v>9.0512394094504582</v>
      </c>
      <c r="I658" s="12">
        <f t="shared" si="11"/>
        <v>8.4176526507889271</v>
      </c>
      <c r="J658">
        <f>Table1[[#This Row],[Coating weight (mg)]]/Constants!$C$2</f>
        <v>7.1451397761657054</v>
      </c>
      <c r="K658">
        <f>(Table1[[#This Row],[Coating weight (mg)]]/1000)/(((Table1[[#This Row],[Electrode Thickness(µm)]]-Constants!$E$4)*10^-4)*Constants!$C$4)</f>
        <v>-5.9542831468047535</v>
      </c>
    </row>
    <row r="659" spans="1:11" x14ac:dyDescent="0.35">
      <c r="A659" s="28">
        <v>12779</v>
      </c>
      <c r="C659" s="13" t="s">
        <v>217</v>
      </c>
      <c r="D659" t="s">
        <v>15</v>
      </c>
      <c r="E659">
        <v>13.63</v>
      </c>
      <c r="G659">
        <v>13</v>
      </c>
      <c r="H659">
        <f>Table1[[#This Row],[Total electrode weight (mg)]] - IF(ROW()&lt;40, Constants!$B$2 * PI()*(Table1[[#This Row],[Electrode Diameter(mm)]]/(10*2))^2, Constants!$B$4 * PI()*(Table1[[#This Row],[Electrode Diameter(mm)]]/(10*2))^2)</f>
        <v>9.3812394094504583</v>
      </c>
      <c r="I659" s="12">
        <f t="shared" si="11"/>
        <v>8.7245526507889259</v>
      </c>
      <c r="J659">
        <f>Table1[[#This Row],[Coating weight (mg)]]/Constants!$C$2</f>
        <v>7.4056451080291827</v>
      </c>
      <c r="K659">
        <f>(Table1[[#This Row],[Coating weight (mg)]]/1000)/(((Table1[[#This Row],[Electrode Thickness(µm)]]-Constants!$E$4)*10^-4)*Constants!$C$4)</f>
        <v>-6.1713709233576513</v>
      </c>
    </row>
    <row r="660" spans="1:11" x14ac:dyDescent="0.35">
      <c r="A660" s="28">
        <v>12780</v>
      </c>
      <c r="C660" s="13" t="s">
        <v>218</v>
      </c>
      <c r="D660" t="s">
        <v>15</v>
      </c>
      <c r="E660">
        <v>14.62</v>
      </c>
      <c r="G660">
        <v>13</v>
      </c>
      <c r="H660">
        <f>Table1[[#This Row],[Total electrode weight (mg)]] - IF(ROW()&lt;40, Constants!$B$2 * PI()*(Table1[[#This Row],[Electrode Diameter(mm)]]/(10*2))^2, Constants!$B$5 * PI()*(Table1[[#This Row],[Electrode Diameter(mm)]]/(10*2))^2)</f>
        <v>10.238507119836289</v>
      </c>
      <c r="I660" s="12">
        <f t="shared" si="11"/>
        <v>9.5218116214477497</v>
      </c>
      <c r="J660">
        <f>Table1[[#This Row],[Coating weight (mg)]]/Constants!$C$2</f>
        <v>8.082380894059197</v>
      </c>
      <c r="K660">
        <f>(Table1[[#This Row],[Coating weight (mg)]]/1000)/(((Table1[[#This Row],[Electrode Thickness(µm)]]-Constants!$E$4)*10^-4)*Constants!$C$4)</f>
        <v>-6.7353174117159975</v>
      </c>
    </row>
    <row r="661" spans="1:11" x14ac:dyDescent="0.35">
      <c r="A661" s="28">
        <v>12781</v>
      </c>
      <c r="C661" s="13" t="s">
        <v>218</v>
      </c>
      <c r="D661" t="s">
        <v>15</v>
      </c>
      <c r="E661">
        <v>14.85</v>
      </c>
      <c r="G661">
        <v>13</v>
      </c>
      <c r="H661">
        <f>Table1[[#This Row],[Total electrode weight (mg)]] - IF(ROW()&lt;40, Constants!$B$2 * PI()*(Table1[[#This Row],[Electrode Diameter(mm)]]/(10*2))^2, Constants!$B$5 * PI()*(Table1[[#This Row],[Electrode Diameter(mm)]]/(10*2))^2)</f>
        <v>10.468507119836289</v>
      </c>
      <c r="I661" s="12">
        <f t="shared" si="11"/>
        <v>9.7357116214477486</v>
      </c>
      <c r="J661">
        <f>Table1[[#This Row],[Coating weight (mg)]]/Constants!$C$2</f>
        <v>8.2639452162670768</v>
      </c>
      <c r="K661">
        <f>(Table1[[#This Row],[Coating weight (mg)]]/1000)/(((Table1[[#This Row],[Electrode Thickness(µm)]]-Constants!$E$4)*10^-4)*Constants!$C$4)</f>
        <v>-6.8866210135558958</v>
      </c>
    </row>
    <row r="662" spans="1:11" x14ac:dyDescent="0.35">
      <c r="A662" s="28">
        <v>12782</v>
      </c>
      <c r="C662" s="13" t="s">
        <v>218</v>
      </c>
      <c r="D662" t="s">
        <v>15</v>
      </c>
      <c r="E662">
        <v>14.73</v>
      </c>
      <c r="G662">
        <v>13</v>
      </c>
      <c r="H662">
        <f>Table1[[#This Row],[Total electrode weight (mg)]] - IF(ROW()&lt;40, Constants!$B$2 * PI()*(Table1[[#This Row],[Electrode Diameter(mm)]]/(10*2))^2, Constants!$B$5 * PI()*(Table1[[#This Row],[Electrode Diameter(mm)]]/(10*2))^2)</f>
        <v>10.348507119836288</v>
      </c>
      <c r="I662" s="12">
        <f t="shared" si="11"/>
        <v>9.6241116214477493</v>
      </c>
      <c r="J662">
        <f>Table1[[#This Row],[Coating weight (mg)]]/Constants!$C$2</f>
        <v>8.1692160046803561</v>
      </c>
      <c r="K662">
        <f>(Table1[[#This Row],[Coating weight (mg)]]/1000)/(((Table1[[#This Row],[Electrode Thickness(µm)]]-Constants!$E$4)*10^-4)*Constants!$C$4)</f>
        <v>-6.8076800039002965</v>
      </c>
    </row>
    <row r="663" spans="1:11" x14ac:dyDescent="0.35">
      <c r="A663" s="28">
        <v>12783</v>
      </c>
      <c r="C663" s="13" t="s">
        <v>218</v>
      </c>
      <c r="D663" t="s">
        <v>15</v>
      </c>
      <c r="E663">
        <v>14.69</v>
      </c>
      <c r="G663">
        <v>13</v>
      </c>
      <c r="H663">
        <f>Table1[[#This Row],[Total electrode weight (mg)]] - IF(ROW()&lt;40, Constants!$B$2 * PI()*(Table1[[#This Row],[Electrode Diameter(mm)]]/(10*2))^2, Constants!$B$5 * PI()*(Table1[[#This Row],[Electrode Diameter(mm)]]/(10*2))^2)</f>
        <v>10.308507119836289</v>
      </c>
      <c r="I663" s="12">
        <f t="shared" si="11"/>
        <v>9.586911621447749</v>
      </c>
      <c r="J663">
        <f>Table1[[#This Row],[Coating weight (mg)]]/Constants!$C$2</f>
        <v>8.1376396008181171</v>
      </c>
      <c r="K663">
        <f>(Table1[[#This Row],[Coating weight (mg)]]/1000)/(((Table1[[#This Row],[Electrode Thickness(µm)]]-Constants!$E$4)*10^-4)*Constants!$C$4)</f>
        <v>-6.7813663340150958</v>
      </c>
    </row>
    <row r="664" spans="1:11" x14ac:dyDescent="0.35">
      <c r="A664" s="28">
        <v>12784</v>
      </c>
      <c r="C664" s="13" t="s">
        <v>218</v>
      </c>
      <c r="D664" t="s">
        <v>15</v>
      </c>
      <c r="E664">
        <v>14.64</v>
      </c>
      <c r="G664">
        <v>13</v>
      </c>
      <c r="H664">
        <f>Table1[[#This Row],[Total electrode weight (mg)]] - IF(ROW()&lt;40, Constants!$B$2 * PI()*(Table1[[#This Row],[Electrode Diameter(mm)]]/(10*2))^2, Constants!$B$5 * PI()*(Table1[[#This Row],[Electrode Diameter(mm)]]/(10*2))^2)</f>
        <v>10.258507119836288</v>
      </c>
      <c r="I664" s="12">
        <f t="shared" si="11"/>
        <v>9.540411621447749</v>
      </c>
      <c r="J664">
        <f>Table1[[#This Row],[Coating weight (mg)]]/Constants!$C$2</f>
        <v>8.0981690959903165</v>
      </c>
      <c r="K664">
        <f>(Table1[[#This Row],[Coating weight (mg)]]/1000)/(((Table1[[#This Row],[Electrode Thickness(µm)]]-Constants!$E$4)*10^-4)*Constants!$C$4)</f>
        <v>-6.7484742466585965</v>
      </c>
    </row>
    <row r="665" spans="1:11" x14ac:dyDescent="0.35">
      <c r="A665" s="28">
        <v>12785</v>
      </c>
      <c r="C665" s="13" t="s">
        <v>218</v>
      </c>
      <c r="D665" t="s">
        <v>15</v>
      </c>
      <c r="E665">
        <v>14.64</v>
      </c>
      <c r="G665">
        <v>13</v>
      </c>
      <c r="H665">
        <f>Table1[[#This Row],[Total electrode weight (mg)]] - IF(ROW()&lt;40, Constants!$B$2 * PI()*(Table1[[#This Row],[Electrode Diameter(mm)]]/(10*2))^2, Constants!$B$5 * PI()*(Table1[[#This Row],[Electrode Diameter(mm)]]/(10*2))^2)</f>
        <v>10.258507119836288</v>
      </c>
      <c r="I665" s="12">
        <f t="shared" si="11"/>
        <v>9.540411621447749</v>
      </c>
      <c r="J665">
        <f>Table1[[#This Row],[Coating weight (mg)]]/Constants!$C$2</f>
        <v>8.0981690959903165</v>
      </c>
      <c r="K665">
        <f>(Table1[[#This Row],[Coating weight (mg)]]/1000)/(((Table1[[#This Row],[Electrode Thickness(µm)]]-Constants!$E$4)*10^-4)*Constants!$C$4)</f>
        <v>-6.7484742466585965</v>
      </c>
    </row>
    <row r="666" spans="1:11" x14ac:dyDescent="0.35">
      <c r="A666" s="28">
        <v>12786</v>
      </c>
      <c r="C666" s="13" t="s">
        <v>218</v>
      </c>
      <c r="D666" t="s">
        <v>15</v>
      </c>
      <c r="E666">
        <v>14.76</v>
      </c>
      <c r="G666">
        <v>13</v>
      </c>
      <c r="H666">
        <f>Table1[[#This Row],[Total electrode weight (mg)]] - IF(ROW()&lt;40, Constants!$B$2 * PI()*(Table1[[#This Row],[Electrode Diameter(mm)]]/(10*2))^2, Constants!$B$5 * PI()*(Table1[[#This Row],[Electrode Diameter(mm)]]/(10*2))^2)</f>
        <v>10.378507119836289</v>
      </c>
      <c r="I666" s="12">
        <f t="shared" si="11"/>
        <v>9.65201162144775</v>
      </c>
      <c r="J666">
        <f>Table1[[#This Row],[Coating weight (mg)]]/Constants!$C$2</f>
        <v>8.1928983075770372</v>
      </c>
      <c r="K666">
        <f>(Table1[[#This Row],[Coating weight (mg)]]/1000)/(((Table1[[#This Row],[Electrode Thickness(µm)]]-Constants!$E$4)*10^-4)*Constants!$C$4)</f>
        <v>-6.8274152563141959</v>
      </c>
    </row>
    <row r="667" spans="1:11" x14ac:dyDescent="0.35">
      <c r="A667" s="28">
        <v>12787</v>
      </c>
      <c r="C667" s="13" t="s">
        <v>218</v>
      </c>
      <c r="D667" t="s">
        <v>15</v>
      </c>
      <c r="E667">
        <v>14.75</v>
      </c>
      <c r="G667">
        <v>13</v>
      </c>
      <c r="H667">
        <f>Table1[[#This Row],[Total electrode weight (mg)]] - IF(ROW()&lt;40, Constants!$B$2 * PI()*(Table1[[#This Row],[Electrode Diameter(mm)]]/(10*2))^2, Constants!$B$5 * PI()*(Table1[[#This Row],[Electrode Diameter(mm)]]/(10*2))^2)</f>
        <v>10.368507119836288</v>
      </c>
      <c r="I667" s="12">
        <f t="shared" si="11"/>
        <v>9.6427116214477486</v>
      </c>
      <c r="J667">
        <f>Table1[[#This Row],[Coating weight (mg)]]/Constants!$C$2</f>
        <v>8.1850042066114757</v>
      </c>
      <c r="K667">
        <f>(Table1[[#This Row],[Coating weight (mg)]]/1000)/(((Table1[[#This Row],[Electrode Thickness(µm)]]-Constants!$E$4)*10^-4)*Constants!$C$4)</f>
        <v>-6.8208368388428955</v>
      </c>
    </row>
    <row r="668" spans="1:11" x14ac:dyDescent="0.35">
      <c r="A668" s="28">
        <v>12788</v>
      </c>
      <c r="C668" s="13" t="s">
        <v>218</v>
      </c>
      <c r="D668" t="s">
        <v>15</v>
      </c>
      <c r="E668">
        <v>14.83</v>
      </c>
      <c r="G668">
        <v>13</v>
      </c>
      <c r="H668">
        <f>Table1[[#This Row],[Total electrode weight (mg)]] - IF(ROW()&lt;40, Constants!$B$2 * PI()*(Table1[[#This Row],[Electrode Diameter(mm)]]/(10*2))^2, Constants!$B$5 * PI()*(Table1[[#This Row],[Electrode Diameter(mm)]]/(10*2))^2)</f>
        <v>10.44850711983629</v>
      </c>
      <c r="I668" s="12">
        <f t="shared" si="11"/>
        <v>9.7171116214477493</v>
      </c>
      <c r="J668">
        <f>Table1[[#This Row],[Coating weight (mg)]]/Constants!$C$2</f>
        <v>8.2481570143359573</v>
      </c>
      <c r="K668">
        <f>(Table1[[#This Row],[Coating weight (mg)]]/1000)/(((Table1[[#This Row],[Electrode Thickness(µm)]]-Constants!$E$4)*10^-4)*Constants!$C$4)</f>
        <v>-6.8734641786132959</v>
      </c>
    </row>
    <row r="669" spans="1:11" x14ac:dyDescent="0.35">
      <c r="A669" s="28">
        <v>12789</v>
      </c>
      <c r="C669" s="13" t="s">
        <v>218</v>
      </c>
      <c r="D669" t="s">
        <v>15</v>
      </c>
      <c r="E669">
        <v>14.73</v>
      </c>
      <c r="G669">
        <v>13</v>
      </c>
      <c r="H669">
        <f>Table1[[#This Row],[Total electrode weight (mg)]] - IF(ROW()&lt;40, Constants!$B$2 * PI()*(Table1[[#This Row],[Electrode Diameter(mm)]]/(10*2))^2, Constants!$B$5 * PI()*(Table1[[#This Row],[Electrode Diameter(mm)]]/(10*2))^2)</f>
        <v>10.348507119836288</v>
      </c>
      <c r="I669" s="12">
        <f t="shared" si="11"/>
        <v>9.6241116214477493</v>
      </c>
      <c r="J669">
        <f>Table1[[#This Row],[Coating weight (mg)]]/Constants!$C$2</f>
        <v>8.1692160046803561</v>
      </c>
      <c r="K669">
        <f>(Table1[[#This Row],[Coating weight (mg)]]/1000)/(((Table1[[#This Row],[Electrode Thickness(µm)]]-Constants!$E$4)*10^-4)*Constants!$C$4)</f>
        <v>-6.8076800039002965</v>
      </c>
    </row>
    <row r="670" spans="1:11" x14ac:dyDescent="0.35">
      <c r="A670" s="28">
        <v>12790</v>
      </c>
      <c r="C670" s="13" t="s">
        <v>219</v>
      </c>
      <c r="D670" t="s">
        <v>15</v>
      </c>
      <c r="E670">
        <v>14.48</v>
      </c>
      <c r="G670">
        <v>13</v>
      </c>
      <c r="H670">
        <f>Table1[[#This Row],[Total electrode weight (mg)]] - IF(ROW()&lt;40, Constants!$B$2 * PI()*(Table1[[#This Row],[Electrode Diameter(mm)]]/(10*2))^2, Constants!$B$5 * PI()*(Table1[[#This Row],[Electrode Diameter(mm)]]/(10*2))^2)</f>
        <v>10.098507119836288</v>
      </c>
      <c r="I670" s="12">
        <f t="shared" si="11"/>
        <v>9.3916116214477476</v>
      </c>
      <c r="J670">
        <f>Table1[[#This Row],[Coating weight (mg)]]/Constants!$C$2</f>
        <v>7.9718634805413577</v>
      </c>
      <c r="K670">
        <f>(Table1[[#This Row],[Coating weight (mg)]]/1000)/(((Table1[[#This Row],[Electrode Thickness(µm)]]-Constants!$E$4)*10^-4)*Constants!$C$4)</f>
        <v>-6.6432195671177974</v>
      </c>
    </row>
    <row r="671" spans="1:11" x14ac:dyDescent="0.35">
      <c r="A671" s="28">
        <v>12791</v>
      </c>
      <c r="C671" s="13" t="s">
        <v>219</v>
      </c>
      <c r="D671" t="s">
        <v>15</v>
      </c>
      <c r="E671">
        <v>14.57</v>
      </c>
      <c r="G671">
        <v>13</v>
      </c>
      <c r="H671">
        <f>Table1[[#This Row],[Total electrode weight (mg)]] - IF(ROW()&lt;40, Constants!$B$2 * PI()*(Table1[[#This Row],[Electrode Diameter(mm)]]/(10*2))^2, Constants!$B$5 * PI()*(Table1[[#This Row],[Electrode Diameter(mm)]]/(10*2))^2)</f>
        <v>10.188507119836288</v>
      </c>
      <c r="I671" s="12">
        <f t="shared" si="11"/>
        <v>9.475311621447748</v>
      </c>
      <c r="J671">
        <f>Table1[[#This Row],[Coating weight (mg)]]/Constants!$C$2</f>
        <v>8.0429103892313965</v>
      </c>
      <c r="K671">
        <f>(Table1[[#This Row],[Coating weight (mg)]]/1000)/(((Table1[[#This Row],[Electrode Thickness(µm)]]-Constants!$E$4)*10^-4)*Constants!$C$4)</f>
        <v>-6.7024253243594965</v>
      </c>
    </row>
    <row r="672" spans="1:11" x14ac:dyDescent="0.35">
      <c r="A672" s="28">
        <v>12792</v>
      </c>
      <c r="C672" s="13" t="s">
        <v>219</v>
      </c>
      <c r="D672" t="s">
        <v>15</v>
      </c>
      <c r="E672">
        <v>14.29</v>
      </c>
      <c r="G672">
        <v>13</v>
      </c>
      <c r="H672">
        <f>Table1[[#This Row],[Total electrode weight (mg)]] - IF(ROW()&lt;40, Constants!$B$2 * PI()*(Table1[[#This Row],[Electrode Diameter(mm)]]/(10*2))^2, Constants!$B$5 * PI()*(Table1[[#This Row],[Electrode Diameter(mm)]]/(10*2))^2)</f>
        <v>9.9085071198362868</v>
      </c>
      <c r="I672" s="12">
        <f t="shared" si="11"/>
        <v>9.2149116214477473</v>
      </c>
      <c r="J672">
        <f>Table1[[#This Row],[Coating weight (mg)]]/Constants!$C$2</f>
        <v>7.8218755621957179</v>
      </c>
      <c r="K672">
        <f>(Table1[[#This Row],[Coating weight (mg)]]/1000)/(((Table1[[#This Row],[Electrode Thickness(µm)]]-Constants!$E$4)*10^-4)*Constants!$C$4)</f>
        <v>-6.5182296351630979</v>
      </c>
    </row>
    <row r="673" spans="1:11" x14ac:dyDescent="0.35">
      <c r="A673" s="28">
        <v>12793</v>
      </c>
      <c r="C673" s="13" t="s">
        <v>219</v>
      </c>
      <c r="D673" t="s">
        <v>15</v>
      </c>
      <c r="E673">
        <v>14.24</v>
      </c>
      <c r="G673">
        <v>13</v>
      </c>
      <c r="H673">
        <f>Table1[[#This Row],[Total electrode weight (mg)]] - IF(ROW()&lt;40, Constants!$B$2 * PI()*(Table1[[#This Row],[Electrode Diameter(mm)]]/(10*2))^2, Constants!$B$5 * PI()*(Table1[[#This Row],[Electrode Diameter(mm)]]/(10*2))^2)</f>
        <v>9.8585071198362897</v>
      </c>
      <c r="I673" s="12">
        <f t="shared" si="11"/>
        <v>9.1684116214477491</v>
      </c>
      <c r="J673">
        <f>Table1[[#This Row],[Coating weight (mg)]]/Constants!$C$2</f>
        <v>7.7824050573679209</v>
      </c>
      <c r="K673">
        <f>(Table1[[#This Row],[Coating weight (mg)]]/1000)/(((Table1[[#This Row],[Electrode Thickness(µm)]]-Constants!$E$4)*10^-4)*Constants!$C$4)</f>
        <v>-6.4853375478065995</v>
      </c>
    </row>
    <row r="674" spans="1:11" x14ac:dyDescent="0.35">
      <c r="A674" s="28">
        <v>12794</v>
      </c>
      <c r="C674" s="13" t="s">
        <v>219</v>
      </c>
      <c r="D674" t="s">
        <v>15</v>
      </c>
      <c r="E674">
        <v>14.34</v>
      </c>
      <c r="G674">
        <v>13</v>
      </c>
      <c r="H674">
        <f>Table1[[#This Row],[Total electrode weight (mg)]] - IF(ROW()&lt;40, Constants!$B$2 * PI()*(Table1[[#This Row],[Electrode Diameter(mm)]]/(10*2))^2, Constants!$B$5 * PI()*(Table1[[#This Row],[Electrode Diameter(mm)]]/(10*2))^2)</f>
        <v>9.9585071198362876</v>
      </c>
      <c r="I674" s="12">
        <f t="shared" si="11"/>
        <v>9.2614116214477473</v>
      </c>
      <c r="J674">
        <f>Table1[[#This Row],[Coating weight (mg)]]/Constants!$C$2</f>
        <v>7.8613460670235185</v>
      </c>
      <c r="K674">
        <f>(Table1[[#This Row],[Coating weight (mg)]]/1000)/(((Table1[[#This Row],[Electrode Thickness(µm)]]-Constants!$E$4)*10^-4)*Constants!$C$4)</f>
        <v>-6.5511217225195972</v>
      </c>
    </row>
    <row r="675" spans="1:11" x14ac:dyDescent="0.35">
      <c r="A675" s="28">
        <v>12795</v>
      </c>
      <c r="C675" s="13" t="s">
        <v>219</v>
      </c>
      <c r="D675" t="s">
        <v>15</v>
      </c>
      <c r="E675">
        <v>14.65</v>
      </c>
      <c r="G675">
        <v>13</v>
      </c>
      <c r="H675">
        <f>Table1[[#This Row],[Total electrode weight (mg)]] - IF(ROW()&lt;40, Constants!$B$2 * PI()*(Table1[[#This Row],[Electrode Diameter(mm)]]/(10*2))^2, Constants!$B$5 * PI()*(Table1[[#This Row],[Electrode Diameter(mm)]]/(10*2))^2)</f>
        <v>10.26850711983629</v>
      </c>
      <c r="I675" s="12">
        <f t="shared" si="11"/>
        <v>9.5497116214477504</v>
      </c>
      <c r="J675">
        <f>Table1[[#This Row],[Coating weight (mg)]]/Constants!$C$2</f>
        <v>8.1060631969558781</v>
      </c>
      <c r="K675">
        <f>(Table1[[#This Row],[Coating weight (mg)]]/1000)/(((Table1[[#This Row],[Electrode Thickness(µm)]]-Constants!$E$4)*10^-4)*Constants!$C$4)</f>
        <v>-6.7550526641298978</v>
      </c>
    </row>
    <row r="676" spans="1:11" x14ac:dyDescent="0.35">
      <c r="A676" s="28">
        <v>12796</v>
      </c>
      <c r="C676" s="13" t="s">
        <v>219</v>
      </c>
      <c r="D676" t="s">
        <v>15</v>
      </c>
      <c r="E676">
        <v>14.5</v>
      </c>
      <c r="G676">
        <v>13</v>
      </c>
      <c r="H676">
        <f>Table1[[#This Row],[Total electrode weight (mg)]] - IF(ROW()&lt;40, Constants!$B$2 * PI()*(Table1[[#This Row],[Electrode Diameter(mm)]]/(10*2))^2, Constants!$B$5 * PI()*(Table1[[#This Row],[Electrode Diameter(mm)]]/(10*2))^2)</f>
        <v>10.118507119836288</v>
      </c>
      <c r="I676" s="12">
        <f t="shared" si="11"/>
        <v>9.4102116214477487</v>
      </c>
      <c r="J676">
        <f>Table1[[#This Row],[Coating weight (mg)]]/Constants!$C$2</f>
        <v>7.9876516824724773</v>
      </c>
      <c r="K676">
        <f>(Table1[[#This Row],[Coating weight (mg)]]/1000)/(((Table1[[#This Row],[Electrode Thickness(µm)]]-Constants!$E$4)*10^-4)*Constants!$C$4)</f>
        <v>-6.6563764020603964</v>
      </c>
    </row>
    <row r="677" spans="1:11" x14ac:dyDescent="0.35">
      <c r="A677" s="28">
        <v>12797</v>
      </c>
      <c r="C677" s="13" t="s">
        <v>219</v>
      </c>
      <c r="D677" t="s">
        <v>15</v>
      </c>
      <c r="E677">
        <v>14.54</v>
      </c>
      <c r="G677">
        <v>13</v>
      </c>
      <c r="H677">
        <f>Table1[[#This Row],[Total electrode weight (mg)]] - IF(ROW()&lt;40, Constants!$B$2 * PI()*(Table1[[#This Row],[Electrode Diameter(mm)]]/(10*2))^2, Constants!$B$5 * PI()*(Table1[[#This Row],[Electrode Diameter(mm)]]/(10*2))^2)</f>
        <v>10.158507119836287</v>
      </c>
      <c r="I677" s="12">
        <f t="shared" si="11"/>
        <v>9.4474116214477473</v>
      </c>
      <c r="J677">
        <f>Table1[[#This Row],[Coating weight (mg)]]/Constants!$C$2</f>
        <v>8.0192280863347172</v>
      </c>
      <c r="K677">
        <f>(Table1[[#This Row],[Coating weight (mg)]]/1000)/(((Table1[[#This Row],[Electrode Thickness(µm)]]-Constants!$E$4)*10^-4)*Constants!$C$4)</f>
        <v>-6.6826900719455962</v>
      </c>
    </row>
    <row r="678" spans="1:11" x14ac:dyDescent="0.35">
      <c r="A678" s="28">
        <v>12798</v>
      </c>
      <c r="C678" s="13" t="s">
        <v>219</v>
      </c>
      <c r="D678" t="s">
        <v>15</v>
      </c>
      <c r="E678">
        <v>14.56</v>
      </c>
      <c r="G678">
        <v>13</v>
      </c>
      <c r="H678">
        <f>Table1[[#This Row],[Total electrode weight (mg)]] - IF(ROW()&lt;40, Constants!$B$2 * PI()*(Table1[[#This Row],[Electrode Diameter(mm)]]/(10*2))^2, Constants!$B$5 * PI()*(Table1[[#This Row],[Electrode Diameter(mm)]]/(10*2))^2)</f>
        <v>10.17850711983629</v>
      </c>
      <c r="I678" s="12">
        <f t="shared" si="11"/>
        <v>9.4660116214477501</v>
      </c>
      <c r="J678">
        <f>Table1[[#This Row],[Coating weight (mg)]]/Constants!$C$2</f>
        <v>8.0350162882658385</v>
      </c>
      <c r="K678">
        <f>(Table1[[#This Row],[Coating weight (mg)]]/1000)/(((Table1[[#This Row],[Electrode Thickness(µm)]]-Constants!$E$4)*10^-4)*Constants!$C$4)</f>
        <v>-6.6958469068881978</v>
      </c>
    </row>
    <row r="679" spans="1:11" x14ac:dyDescent="0.35">
      <c r="A679" s="28">
        <v>12799</v>
      </c>
      <c r="C679" s="13" t="s">
        <v>219</v>
      </c>
      <c r="D679" t="s">
        <v>15</v>
      </c>
      <c r="E679">
        <v>14.56</v>
      </c>
      <c r="G679">
        <v>13</v>
      </c>
      <c r="H679">
        <f>Table1[[#This Row],[Total electrode weight (mg)]] - IF(ROW()&lt;40, Constants!$B$2 * PI()*(Table1[[#This Row],[Electrode Diameter(mm)]]/(10*2))^2, Constants!$B$5 * PI()*(Table1[[#This Row],[Electrode Diameter(mm)]]/(10*2))^2)</f>
        <v>10.17850711983629</v>
      </c>
      <c r="I679" s="12">
        <f t="shared" si="11"/>
        <v>9.4660116214477501</v>
      </c>
      <c r="J679">
        <f>Table1[[#This Row],[Coating weight (mg)]]/Constants!$C$2</f>
        <v>8.0350162882658385</v>
      </c>
      <c r="K679">
        <f>(Table1[[#This Row],[Coating weight (mg)]]/1000)/(((Table1[[#This Row],[Electrode Thickness(µm)]]-Constants!$E$4)*10^-4)*Constants!$C$4)</f>
        <v>-6.6958469068881978</v>
      </c>
    </row>
    <row r="680" spans="1:11" x14ac:dyDescent="0.35">
      <c r="A680" s="28">
        <v>12800</v>
      </c>
      <c r="C680" s="13" t="s">
        <v>220</v>
      </c>
      <c r="D680" t="s">
        <v>15</v>
      </c>
      <c r="E680">
        <v>14.11</v>
      </c>
      <c r="G680">
        <v>13</v>
      </c>
      <c r="H680">
        <f>Table1[[#This Row],[Total electrode weight (mg)]] - IF(ROW()&lt;40, Constants!$B$2 * PI()*(Table1[[#This Row],[Electrode Diameter(mm)]]/(10*2))^2, Constants!$B$5 * PI()*(Table1[[#This Row],[Electrode Diameter(mm)]]/(10*2))^2)</f>
        <v>9.7285071198362871</v>
      </c>
      <c r="I680" s="12">
        <f t="shared" si="11"/>
        <v>9.0475116214477467</v>
      </c>
      <c r="J680">
        <f>Table1[[#This Row],[Coating weight (mg)]]/Constants!$C$2</f>
        <v>7.6797817448156396</v>
      </c>
      <c r="K680">
        <f>(Table1[[#This Row],[Coating weight (mg)]]/1000)/(((Table1[[#This Row],[Electrode Thickness(µm)]]-Constants!$E$4)*10^-4)*Constants!$C$4)</f>
        <v>-6.3998181206796989</v>
      </c>
    </row>
    <row r="681" spans="1:11" x14ac:dyDescent="0.35">
      <c r="A681" s="28">
        <v>12801</v>
      </c>
      <c r="C681" s="13" t="s">
        <v>220</v>
      </c>
      <c r="D681" t="s">
        <v>15</v>
      </c>
      <c r="E681">
        <v>14.07</v>
      </c>
      <c r="G681">
        <v>13</v>
      </c>
      <c r="H681">
        <f>Table1[[#This Row],[Total electrode weight (mg)]] - IF(ROW()&lt;40, Constants!$B$2 * PI()*(Table1[[#This Row],[Electrode Diameter(mm)]]/(10*2))^2, Constants!$B$5 * PI()*(Table1[[#This Row],[Electrode Diameter(mm)]]/(10*2))^2)</f>
        <v>9.688507119836288</v>
      </c>
      <c r="I681" s="12">
        <f t="shared" si="11"/>
        <v>9.0103116214477481</v>
      </c>
      <c r="J681">
        <f>Table1[[#This Row],[Coating weight (mg)]]/Constants!$C$2</f>
        <v>7.6482053409533997</v>
      </c>
      <c r="K681">
        <f>(Table1[[#This Row],[Coating weight (mg)]]/1000)/(((Table1[[#This Row],[Electrode Thickness(µm)]]-Constants!$E$4)*10^-4)*Constants!$C$4)</f>
        <v>-6.3735044507944991</v>
      </c>
    </row>
    <row r="682" spans="1:11" x14ac:dyDescent="0.35">
      <c r="A682" s="28">
        <v>12802</v>
      </c>
      <c r="C682" s="13" t="s">
        <v>220</v>
      </c>
      <c r="D682" t="s">
        <v>15</v>
      </c>
      <c r="E682">
        <v>13.9</v>
      </c>
      <c r="G682">
        <v>13</v>
      </c>
      <c r="H682">
        <f>Table1[[#This Row],[Total electrode weight (mg)]] - IF(ROW()&lt;40, Constants!$B$2 * PI()*(Table1[[#This Row],[Electrode Diameter(mm)]]/(10*2))^2, Constants!$B$5 * PI()*(Table1[[#This Row],[Electrode Diameter(mm)]]/(10*2))^2)</f>
        <v>9.5185071198362898</v>
      </c>
      <c r="I682" s="12">
        <f t="shared" si="11"/>
        <v>8.8522116214477506</v>
      </c>
      <c r="J682">
        <f>Table1[[#This Row],[Coating weight (mg)]]/Constants!$C$2</f>
        <v>7.5140056245388829</v>
      </c>
      <c r="K682">
        <f>(Table1[[#This Row],[Coating weight (mg)]]/1000)/(((Table1[[#This Row],[Electrode Thickness(µm)]]-Constants!$E$4)*10^-4)*Constants!$C$4)</f>
        <v>-6.2616713537824005</v>
      </c>
    </row>
    <row r="683" spans="1:11" x14ac:dyDescent="0.35">
      <c r="A683" s="28">
        <v>12803</v>
      </c>
      <c r="C683" s="13" t="s">
        <v>220</v>
      </c>
      <c r="D683" t="s">
        <v>15</v>
      </c>
      <c r="E683">
        <v>14</v>
      </c>
      <c r="G683">
        <v>13</v>
      </c>
      <c r="H683">
        <f>Table1[[#This Row],[Total electrode weight (mg)]] - IF(ROW()&lt;40, Constants!$B$2 * PI()*(Table1[[#This Row],[Electrode Diameter(mm)]]/(10*2))^2, Constants!$B$5 * PI()*(Table1[[#This Row],[Electrode Diameter(mm)]]/(10*2))^2)</f>
        <v>9.6185071198362877</v>
      </c>
      <c r="I683" s="12">
        <f t="shared" si="11"/>
        <v>8.9452116214477488</v>
      </c>
      <c r="J683">
        <f>Table1[[#This Row],[Coating weight (mg)]]/Constants!$C$2</f>
        <v>7.5929466341944805</v>
      </c>
      <c r="K683">
        <f>(Table1[[#This Row],[Coating weight (mg)]]/1000)/(((Table1[[#This Row],[Electrode Thickness(µm)]]-Constants!$E$4)*10^-4)*Constants!$C$4)</f>
        <v>-6.3274555284953999</v>
      </c>
    </row>
    <row r="684" spans="1:11" x14ac:dyDescent="0.35">
      <c r="A684" s="28">
        <v>12804</v>
      </c>
      <c r="C684" s="13" t="s">
        <v>220</v>
      </c>
      <c r="D684" t="s">
        <v>15</v>
      </c>
      <c r="E684">
        <v>14.11</v>
      </c>
      <c r="G684">
        <v>13</v>
      </c>
      <c r="H684">
        <f>Table1[[#This Row],[Total electrode weight (mg)]] - IF(ROW()&lt;40, Constants!$B$2 * PI()*(Table1[[#This Row],[Electrode Diameter(mm)]]/(10*2))^2, Constants!$B$5 * PI()*(Table1[[#This Row],[Electrode Diameter(mm)]]/(10*2))^2)</f>
        <v>9.7285071198362871</v>
      </c>
      <c r="I684" s="12">
        <f t="shared" si="11"/>
        <v>9.0475116214477467</v>
      </c>
      <c r="J684">
        <f>Table1[[#This Row],[Coating weight (mg)]]/Constants!$C$2</f>
        <v>7.6797817448156396</v>
      </c>
      <c r="K684">
        <f>(Table1[[#This Row],[Coating weight (mg)]]/1000)/(((Table1[[#This Row],[Electrode Thickness(µm)]]-Constants!$E$4)*10^-4)*Constants!$C$4)</f>
        <v>-6.3998181206796989</v>
      </c>
    </row>
    <row r="685" spans="1:11" x14ac:dyDescent="0.35">
      <c r="A685" s="28">
        <v>12805</v>
      </c>
      <c r="C685" s="13" t="s">
        <v>221</v>
      </c>
      <c r="D685" t="s">
        <v>15</v>
      </c>
      <c r="E685">
        <v>24.63</v>
      </c>
      <c r="G685">
        <v>13</v>
      </c>
      <c r="H685">
        <f>Table1[[#This Row],[Total electrode weight (mg)]] - IF(ROW()&lt;40, Constants!$B$2 * PI()*(Table1[[#This Row],[Electrode Diameter(mm)]]/(10*2))^2, Constants!$B$4 * PI()*(Table1[[#This Row],[Electrode Diameter(mm)]]/(10*2))^2)</f>
        <v>20.381239409450458</v>
      </c>
      <c r="I685" s="12">
        <f t="shared" si="11"/>
        <v>18.954552650788926</v>
      </c>
      <c r="J685">
        <f>Table1[[#This Row],[Coating weight (mg)]]/Constants!$C$2</f>
        <v>16.089156170145117</v>
      </c>
      <c r="K685">
        <f>(Table1[[#This Row],[Coating weight (mg)]]/1000)/(((Table1[[#This Row],[Electrode Thickness(µm)]]-Constants!$E$4)*10^-4)*Constants!$C$4)</f>
        <v>-13.407630141787596</v>
      </c>
    </row>
    <row r="686" spans="1:11" x14ac:dyDescent="0.35">
      <c r="A686" s="28">
        <v>12806</v>
      </c>
      <c r="C686" s="13" t="s">
        <v>221</v>
      </c>
      <c r="D686" t="s">
        <v>15</v>
      </c>
      <c r="E686">
        <v>24.75</v>
      </c>
      <c r="G686">
        <v>13</v>
      </c>
      <c r="H686">
        <f>Table1[[#This Row],[Total electrode weight (mg)]] - IF(ROW()&lt;40, Constants!$B$2 * PI()*(Table1[[#This Row],[Electrode Diameter(mm)]]/(10*2))^2, Constants!$B$4 * PI()*(Table1[[#This Row],[Electrode Diameter(mm)]]/(10*2))^2)</f>
        <v>20.501239409450456</v>
      </c>
      <c r="I686" s="12">
        <f t="shared" si="11"/>
        <v>19.066152650788926</v>
      </c>
      <c r="J686">
        <f>Table1[[#This Row],[Coating weight (mg)]]/Constants!$C$2</f>
        <v>16.183885381731834</v>
      </c>
      <c r="K686">
        <f>(Table1[[#This Row],[Coating weight (mg)]]/1000)/(((Table1[[#This Row],[Electrode Thickness(µm)]]-Constants!$E$4)*10^-4)*Constants!$C$4)</f>
        <v>-13.486571151443195</v>
      </c>
    </row>
    <row r="687" spans="1:11" x14ac:dyDescent="0.35">
      <c r="A687" s="28">
        <v>12807</v>
      </c>
      <c r="C687" s="13" t="s">
        <v>221</v>
      </c>
      <c r="D687" t="s">
        <v>15</v>
      </c>
      <c r="E687">
        <v>23.26</v>
      </c>
      <c r="G687">
        <v>13</v>
      </c>
      <c r="H687">
        <f>Table1[[#This Row],[Total electrode weight (mg)]] - IF(ROW()&lt;40, Constants!$B$2 * PI()*(Table1[[#This Row],[Electrode Diameter(mm)]]/(10*2))^2, Constants!$B$4 * PI()*(Table1[[#This Row],[Electrode Diameter(mm)]]/(10*2))^2)</f>
        <v>19.011239409450461</v>
      </c>
      <c r="I687" s="12">
        <f t="shared" si="11"/>
        <v>17.680452650788929</v>
      </c>
      <c r="J687">
        <f>Table1[[#This Row],[Coating weight (mg)]]/Constants!$C$2</f>
        <v>15.007664337863408</v>
      </c>
      <c r="K687">
        <f>(Table1[[#This Row],[Coating weight (mg)]]/1000)/(((Table1[[#This Row],[Electrode Thickness(µm)]]-Constants!$E$4)*10^-4)*Constants!$C$4)</f>
        <v>-12.506386948219506</v>
      </c>
    </row>
    <row r="688" spans="1:11" x14ac:dyDescent="0.35">
      <c r="A688" s="28">
        <v>12808</v>
      </c>
      <c r="C688" s="13" t="s">
        <v>221</v>
      </c>
      <c r="D688" t="s">
        <v>15</v>
      </c>
      <c r="E688">
        <v>24.9</v>
      </c>
      <c r="G688">
        <v>13</v>
      </c>
      <c r="H688">
        <f>Table1[[#This Row],[Total electrode weight (mg)]] - IF(ROW()&lt;40, Constants!$B$2 * PI()*(Table1[[#This Row],[Electrode Diameter(mm)]]/(10*2))^2, Constants!$B$4 * PI()*(Table1[[#This Row],[Electrode Diameter(mm)]]/(10*2))^2)</f>
        <v>20.651239409450454</v>
      </c>
      <c r="I688" s="12">
        <f t="shared" si="11"/>
        <v>19.205652650788924</v>
      </c>
      <c r="J688">
        <f>Table1[[#This Row],[Coating weight (mg)]]/Constants!$C$2</f>
        <v>16.302296896215232</v>
      </c>
      <c r="K688">
        <f>(Table1[[#This Row],[Coating weight (mg)]]/1000)/(((Table1[[#This Row],[Electrode Thickness(µm)]]-Constants!$E$4)*10^-4)*Constants!$C$4)</f>
        <v>-13.585247413512693</v>
      </c>
    </row>
    <row r="689" spans="1:11" x14ac:dyDescent="0.35">
      <c r="A689" s="28">
        <v>12809</v>
      </c>
      <c r="C689" s="13" t="s">
        <v>221</v>
      </c>
      <c r="D689" t="s">
        <v>15</v>
      </c>
      <c r="E689">
        <v>24.07</v>
      </c>
      <c r="G689">
        <v>13</v>
      </c>
      <c r="H689">
        <f>Table1[[#This Row],[Total electrode weight (mg)]] - IF(ROW()&lt;40, Constants!$B$2 * PI()*(Table1[[#This Row],[Electrode Diameter(mm)]]/(10*2))^2, Constants!$B$4 * PI()*(Table1[[#This Row],[Electrode Diameter(mm)]]/(10*2))^2)</f>
        <v>19.821239409450456</v>
      </c>
      <c r="I689" s="12">
        <f t="shared" si="11"/>
        <v>18.433752650788925</v>
      </c>
      <c r="J689">
        <f>Table1[[#This Row],[Coating weight (mg)]]/Constants!$C$2</f>
        <v>15.64708651607376</v>
      </c>
      <c r="K689">
        <f>(Table1[[#This Row],[Coating weight (mg)]]/1000)/(((Table1[[#This Row],[Electrode Thickness(µm)]]-Constants!$E$4)*10^-4)*Constants!$C$4)</f>
        <v>-13.039238763394799</v>
      </c>
    </row>
    <row r="690" spans="1:11" x14ac:dyDescent="0.35">
      <c r="A690" s="28">
        <v>50014</v>
      </c>
      <c r="C690" s="13" t="s">
        <v>205</v>
      </c>
      <c r="D690" t="s">
        <v>15</v>
      </c>
      <c r="H690">
        <f>Table1[[#This Row],[Total electrode weight (mg)]] - IF(ROW()&lt;40, Constants!$B$2 * PI()*(Table1[[#This Row],[Electrode Diameter(mm)]]/(10*2))^2, Constants!$B$4 * PI()*(Table1[[#This Row],[Electrode Diameter(mm)]]/(10*2))^2)</f>
        <v>0</v>
      </c>
      <c r="I690" s="12">
        <v>151.19999999999999</v>
      </c>
      <c r="J690">
        <f>Table1[[#This Row],[Coating weight (mg)]]/Constants!$C$2</f>
        <v>0</v>
      </c>
      <c r="K690">
        <f>(Table1[[#This Row],[Coating weight (mg)]]/1000)/(((Table1[[#This Row],[Electrode Thickness(µm)]]-Constants!$E$4)*10^-4)*Constants!$C$4)</f>
        <v>0</v>
      </c>
    </row>
    <row r="691" spans="1:11" x14ac:dyDescent="0.35">
      <c r="A691" s="28">
        <v>50015</v>
      </c>
      <c r="C691" s="13" t="s">
        <v>205</v>
      </c>
      <c r="D691" t="s">
        <v>15</v>
      </c>
      <c r="H691">
        <f>Table1[[#This Row],[Total electrode weight (mg)]] - IF(ROW()&lt;40, Constants!$B$2 * PI()*(Table1[[#This Row],[Electrode Diameter(mm)]]/(10*2))^2, Constants!$B$4 * PI()*(Table1[[#This Row],[Electrode Diameter(mm)]]/(10*2))^2)</f>
        <v>0</v>
      </c>
      <c r="I691" s="12">
        <v>151.19999999999999</v>
      </c>
      <c r="J691">
        <f>Table1[[#This Row],[Coating weight (mg)]]/Constants!$C$2</f>
        <v>0</v>
      </c>
      <c r="K691">
        <f>(Table1[[#This Row],[Coating weight (mg)]]/1000)/(((Table1[[#This Row],[Electrode Thickness(µm)]]-Constants!$E$4)*10^-4)*Constants!$C$4)</f>
        <v>0</v>
      </c>
    </row>
    <row r="692" spans="1:11" x14ac:dyDescent="0.35">
      <c r="A692" s="28">
        <v>50016</v>
      </c>
      <c r="C692" s="13" t="s">
        <v>205</v>
      </c>
      <c r="D692" t="s">
        <v>15</v>
      </c>
      <c r="H692">
        <f>Table1[[#This Row],[Total electrode weight (mg)]] - IF(ROW()&lt;40, Constants!$B$2 * PI()*(Table1[[#This Row],[Electrode Diameter(mm)]]/(10*2))^2, Constants!$B$4 * PI()*(Table1[[#This Row],[Electrode Diameter(mm)]]/(10*2))^2)</f>
        <v>0</v>
      </c>
      <c r="I692" s="12">
        <v>151.19999999999999</v>
      </c>
      <c r="J692">
        <f>Table1[[#This Row],[Coating weight (mg)]]/Constants!$C$2</f>
        <v>0</v>
      </c>
      <c r="K692">
        <f>(Table1[[#This Row],[Coating weight (mg)]]/1000)/(((Table1[[#This Row],[Electrode Thickness(µm)]]-Constants!$E$4)*10^-4)*Constants!$C$4)</f>
        <v>0</v>
      </c>
    </row>
    <row r="693" spans="1:11" x14ac:dyDescent="0.35">
      <c r="A693" s="28">
        <v>50017</v>
      </c>
      <c r="C693" s="13" t="s">
        <v>222</v>
      </c>
      <c r="D693" t="s">
        <v>15</v>
      </c>
      <c r="H693">
        <f>Table1[[#This Row],[Total electrode weight (mg)]] - IF(ROW()&lt;40, Constants!$B$2 * PI()*(Table1[[#This Row],[Electrode Diameter(mm)]]/(10*2))^2, Constants!$B$4 * PI()*(Table1[[#This Row],[Electrode Diameter(mm)]]/(10*2))^2)</f>
        <v>0</v>
      </c>
      <c r="I693" s="12">
        <v>143.1</v>
      </c>
      <c r="J693">
        <f>Table1[[#This Row],[Coating weight (mg)]]/Constants!$C$2</f>
        <v>0</v>
      </c>
      <c r="K693">
        <f>(Table1[[#This Row],[Coating weight (mg)]]/1000)/(((Table1[[#This Row],[Electrode Thickness(µm)]]-Constants!$E$4)*10^-4)*Constants!$C$4)</f>
        <v>0</v>
      </c>
    </row>
    <row r="694" spans="1:11" x14ac:dyDescent="0.35">
      <c r="A694" s="28">
        <v>21891</v>
      </c>
      <c r="H694">
        <f>Table1[[#This Row],[Total electrode weight (mg)]] - IF(ROW()&lt;40, Constants!$B$2 * PI()*(Table1[[#This Row],[Electrode Diameter(mm)]]/(10*2))^2, Constants!$B$4 * PI()*(Table1[[#This Row],[Electrode Diameter(mm)]]/(10*2))^2)</f>
        <v>0</v>
      </c>
      <c r="I694" s="12">
        <v>7588.79</v>
      </c>
      <c r="J694">
        <f>Table1[[#This Row],[Coating weight (mg)]]/Constants!$C$2</f>
        <v>0</v>
      </c>
      <c r="K694">
        <f>(Table1[[#This Row],[Coating weight (mg)]]/1000)/(((Table1[[#This Row],[Electrode Thickness(µm)]]-Constants!$E$4)*10^-4)*Constants!$C$4)</f>
        <v>0</v>
      </c>
    </row>
    <row r="695" spans="1:11" x14ac:dyDescent="0.35">
      <c r="A695" s="28">
        <v>21892</v>
      </c>
      <c r="H695">
        <f>Table1[[#This Row],[Total electrode weight (mg)]] - IF(ROW()&lt;40, Constants!$B$2 * PI()*(Table1[[#This Row],[Electrode Diameter(mm)]]/(10*2))^2, Constants!$B$4 * PI()*(Table1[[#This Row],[Electrode Diameter(mm)]]/(10*2))^2)</f>
        <v>0</v>
      </c>
      <c r="I695" s="12">
        <v>7588.79</v>
      </c>
      <c r="J695">
        <f>Table1[[#This Row],[Coating weight (mg)]]/Constants!$C$2</f>
        <v>0</v>
      </c>
      <c r="K695">
        <f>(Table1[[#This Row],[Coating weight (mg)]]/1000)/(((Table1[[#This Row],[Electrode Thickness(µm)]]-Constants!$E$4)*10^-4)*Constants!$C$4)</f>
        <v>0</v>
      </c>
    </row>
    <row r="696" spans="1:11" x14ac:dyDescent="0.35">
      <c r="A696" s="28">
        <v>21893</v>
      </c>
      <c r="H696">
        <f>Table1[[#This Row],[Total electrode weight (mg)]] - IF(ROW()&lt;40, Constants!$B$2 * PI()*(Table1[[#This Row],[Electrode Diameter(mm)]]/(10*2))^2, Constants!$B$4 * PI()*(Table1[[#This Row],[Electrode Diameter(mm)]]/(10*2))^2)</f>
        <v>0</v>
      </c>
      <c r="I696" s="12">
        <v>7588.79</v>
      </c>
      <c r="J696">
        <f>Table1[[#This Row],[Coating weight (mg)]]/Constants!$C$2</f>
        <v>0</v>
      </c>
      <c r="K696">
        <f>(Table1[[#This Row],[Coating weight (mg)]]/1000)/(((Table1[[#This Row],[Electrode Thickness(µm)]]-Constants!$E$4)*10^-4)*Constants!$C$4)</f>
        <v>0</v>
      </c>
    </row>
  </sheetData>
  <phoneticPr fontId="7" type="noConversion"/>
  <dataValidations count="1">
    <dataValidation type="list" allowBlank="1" showInputMessage="1" showErrorMessage="1" sqref="D1:D194" xr:uid="{00000000-0002-0000-0000-000000000000}">
      <formula1>"RnD, Production"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H7" sqref="H7"/>
    </sheetView>
  </sheetViews>
  <sheetFormatPr defaultRowHeight="14.5" x14ac:dyDescent="0.35"/>
  <cols>
    <col min="1" max="1" width="20.81640625" bestFit="1" customWidth="1"/>
    <col min="2" max="2" width="12.1796875" bestFit="1" customWidth="1"/>
    <col min="3" max="3" width="12.1796875" customWidth="1"/>
    <col min="4" max="4" width="13.7265625" customWidth="1"/>
  </cols>
  <sheetData>
    <row r="1" spans="1:8" ht="87" customHeight="1" x14ac:dyDescent="0.35">
      <c r="A1" s="14" t="s">
        <v>223</v>
      </c>
      <c r="B1" s="15" t="s">
        <v>224</v>
      </c>
      <c r="C1" s="15" t="s">
        <v>225</v>
      </c>
      <c r="D1" s="15" t="s">
        <v>226</v>
      </c>
      <c r="E1" s="15" t="s">
        <v>227</v>
      </c>
      <c r="F1" s="6"/>
    </row>
    <row r="2" spans="1:8" x14ac:dyDescent="0.35">
      <c r="A2" s="4" t="s">
        <v>228</v>
      </c>
      <c r="B2" s="10">
        <v>4.04</v>
      </c>
      <c r="C2" s="4">
        <f>PI()*(1.27/2)^2</f>
        <v>1.2667686977437442</v>
      </c>
      <c r="D2" s="4">
        <f>PI()*(1.3/2)^2</f>
        <v>1.3273228961416876</v>
      </c>
      <c r="E2" s="4">
        <v>14</v>
      </c>
    </row>
    <row r="3" spans="1:8" x14ac:dyDescent="0.35">
      <c r="A3" s="4" t="s">
        <v>229</v>
      </c>
      <c r="B3" s="10">
        <v>3.33</v>
      </c>
      <c r="C3" s="4">
        <f>PI()*(1.27/2)^2</f>
        <v>1.2667686977437442</v>
      </c>
      <c r="D3" s="4">
        <f>PI()*(1.3/2)^2</f>
        <v>1.3273228961416876</v>
      </c>
      <c r="E3" s="4">
        <v>12</v>
      </c>
    </row>
    <row r="4" spans="1:8" x14ac:dyDescent="0.35">
      <c r="A4" s="4" t="s">
        <v>230</v>
      </c>
      <c r="B4" s="10">
        <v>3.2010000000000001</v>
      </c>
      <c r="C4" s="4">
        <f>PI()*(1.27/2)^2</f>
        <v>1.2667686977437442</v>
      </c>
      <c r="D4" s="4">
        <f>PI()*(1.3/2)^2</f>
        <v>1.3273228961416876</v>
      </c>
      <c r="E4" s="4">
        <v>12</v>
      </c>
      <c r="H4" t="s">
        <v>231</v>
      </c>
    </row>
    <row r="5" spans="1:8" x14ac:dyDescent="0.35">
      <c r="A5" s="4" t="s">
        <v>232</v>
      </c>
      <c r="B5" s="10">
        <v>3.3010000000000002</v>
      </c>
      <c r="C5" s="4">
        <f>PI()*(1.27/2)^2</f>
        <v>1.2667686977437442</v>
      </c>
      <c r="D5" s="4">
        <f>PI()*(1.3/2)^2</f>
        <v>1.3273228961416876</v>
      </c>
      <c r="E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tabSelected="1" workbookViewId="0">
      <selection activeCell="H14" sqref="H14"/>
    </sheetView>
  </sheetViews>
  <sheetFormatPr defaultRowHeight="14.5" x14ac:dyDescent="0.35"/>
  <cols>
    <col min="1" max="1" width="20.26953125" bestFit="1" customWidth="1"/>
    <col min="2" max="2" width="23.26953125" bestFit="1" customWidth="1"/>
    <col min="3" max="3" width="14.453125" bestFit="1" customWidth="1"/>
    <col min="5" max="5" width="12.54296875" bestFit="1" customWidth="1"/>
    <col min="6" max="6" width="25" bestFit="1" customWidth="1"/>
    <col min="7" max="7" width="25" customWidth="1"/>
  </cols>
  <sheetData>
    <row r="1" spans="1:9" ht="43.5" customHeight="1" x14ac:dyDescent="0.35">
      <c r="A1" s="7" t="s">
        <v>233</v>
      </c>
      <c r="B1" s="7" t="s">
        <v>234</v>
      </c>
      <c r="C1" s="7" t="s">
        <v>235</v>
      </c>
      <c r="D1" s="7" t="s">
        <v>236</v>
      </c>
      <c r="E1" s="7" t="s">
        <v>237</v>
      </c>
      <c r="F1" s="8" t="s">
        <v>238</v>
      </c>
      <c r="G1" s="25" t="s">
        <v>239</v>
      </c>
      <c r="H1" s="41" t="s">
        <v>240</v>
      </c>
      <c r="I1" s="41" t="s">
        <v>241</v>
      </c>
    </row>
    <row r="2" spans="1:9" x14ac:dyDescent="0.35">
      <c r="A2" s="10" t="s">
        <v>242</v>
      </c>
      <c r="B2" s="10" t="s">
        <v>243</v>
      </c>
      <c r="C2" s="11">
        <v>100</v>
      </c>
      <c r="D2" s="11">
        <v>18</v>
      </c>
      <c r="E2" s="11">
        <f>D2</f>
        <v>18</v>
      </c>
      <c r="F2" s="11">
        <v>93</v>
      </c>
      <c r="G2" s="26">
        <f>(0.9*E2)*100/((E2*0.9)+E3+E4+E5)</f>
        <v>92.282249173098108</v>
      </c>
      <c r="H2" s="42"/>
      <c r="I2" s="42"/>
    </row>
    <row r="3" spans="1:9" x14ac:dyDescent="0.35">
      <c r="A3" s="39" t="s">
        <v>244</v>
      </c>
      <c r="B3" s="10" t="s">
        <v>245</v>
      </c>
      <c r="C3" s="11">
        <v>2</v>
      </c>
      <c r="D3" s="11">
        <f>E3/(C3/100)</f>
        <v>9.67741935483871</v>
      </c>
      <c r="E3" s="11">
        <f>E2*F3/F2</f>
        <v>0.19354838709677419</v>
      </c>
      <c r="F3" s="11">
        <v>1</v>
      </c>
      <c r="G3" s="27">
        <f>E3*100/(E2*0.9+E3+E4+E5)</f>
        <v>1.1025358324145533</v>
      </c>
      <c r="H3" s="42"/>
      <c r="I3" s="42"/>
    </row>
    <row r="4" spans="1:9" x14ac:dyDescent="0.35">
      <c r="A4" s="40"/>
      <c r="B4" s="10" t="s">
        <v>246</v>
      </c>
      <c r="C4" s="11">
        <v>40</v>
      </c>
      <c r="D4" s="11">
        <v>0.57999999999999996</v>
      </c>
      <c r="E4" s="11">
        <f>E2*F4/F2</f>
        <v>0.58064516129032262</v>
      </c>
      <c r="F4" s="11">
        <v>3</v>
      </c>
      <c r="G4" s="27">
        <f>E4*100/(E2*0.9+E3+E4+E5)</f>
        <v>3.30760749724366</v>
      </c>
      <c r="H4" s="42"/>
      <c r="I4" s="42"/>
    </row>
    <row r="5" spans="1:9" x14ac:dyDescent="0.35">
      <c r="A5" s="10" t="s">
        <v>247</v>
      </c>
      <c r="B5" s="10" t="s">
        <v>248</v>
      </c>
      <c r="C5" s="11">
        <v>100</v>
      </c>
      <c r="D5" s="11">
        <f>E5*1</f>
        <v>0.58064516129032262</v>
      </c>
      <c r="E5" s="11">
        <f>F5*E2/F2</f>
        <v>0.58064516129032262</v>
      </c>
      <c r="F5" s="11">
        <v>3</v>
      </c>
      <c r="G5" s="27">
        <f>E5*100/(E2*0.9+E3+E4+E5)</f>
        <v>3.30760749724366</v>
      </c>
      <c r="H5" s="42"/>
      <c r="I5" s="42"/>
    </row>
    <row r="6" spans="1:9" x14ac:dyDescent="0.35">
      <c r="A6" s="39" t="s">
        <v>249</v>
      </c>
      <c r="B6" s="10" t="s">
        <v>250</v>
      </c>
      <c r="C6" s="11">
        <v>0</v>
      </c>
      <c r="D6" s="11">
        <f>(SUM(E2:E5)-(SUM(D2:D5)*I9/100))/(I9*2/100)</f>
        <v>4.5562998102466832</v>
      </c>
      <c r="E6" s="11"/>
      <c r="F6" s="11"/>
      <c r="G6" s="27"/>
      <c r="H6" s="40"/>
      <c r="I6" s="40"/>
    </row>
    <row r="7" spans="1:9" x14ac:dyDescent="0.35">
      <c r="A7" s="40"/>
      <c r="B7" s="10" t="s">
        <v>251</v>
      </c>
      <c r="C7" s="11">
        <v>0</v>
      </c>
      <c r="D7" s="11">
        <f>(SUM(E2:E5)-(SUM(D2:D5)*I9/100))/(I9*2/100)</f>
        <v>4.5562998102466832</v>
      </c>
      <c r="E7" s="11"/>
      <c r="F7" s="11"/>
      <c r="G7" s="27"/>
      <c r="H7" s="9"/>
      <c r="I7" s="9"/>
    </row>
    <row r="8" spans="1:9" x14ac:dyDescent="0.35">
      <c r="A8" s="38" t="s">
        <v>252</v>
      </c>
      <c r="B8" s="36"/>
      <c r="C8" s="36"/>
      <c r="D8" s="36"/>
      <c r="E8" s="36"/>
      <c r="F8" s="36"/>
      <c r="G8" s="36"/>
      <c r="H8" s="12">
        <f>(D3-E3)+(D4-E4)+D6+D7</f>
        <v>18.59582542694498</v>
      </c>
      <c r="I8" s="11">
        <v>49</v>
      </c>
    </row>
    <row r="9" spans="1:9" x14ac:dyDescent="0.35">
      <c r="A9" s="35" t="s">
        <v>253</v>
      </c>
      <c r="B9" s="36"/>
      <c r="C9" s="36"/>
      <c r="D9" s="36"/>
      <c r="E9" s="36"/>
      <c r="F9" s="36"/>
      <c r="G9" s="37"/>
      <c r="H9" s="11">
        <f>E2*100/F2</f>
        <v>19.35483870967742</v>
      </c>
      <c r="I9" s="11">
        <v>51</v>
      </c>
    </row>
    <row r="11" spans="1:9" x14ac:dyDescent="0.35">
      <c r="E11" s="12"/>
      <c r="F11" s="12"/>
    </row>
    <row r="12" spans="1:9" x14ac:dyDescent="0.35">
      <c r="E12" t="s">
        <v>254</v>
      </c>
      <c r="F12" t="s">
        <v>255</v>
      </c>
    </row>
    <row r="13" spans="1:9" x14ac:dyDescent="0.35">
      <c r="E13" t="s">
        <v>256</v>
      </c>
      <c r="F13" s="31">
        <v>43.2712</v>
      </c>
      <c r="G13">
        <f>F13*100/(F13+F14+F15+0.4*F16)</f>
        <v>93.784414802690563</v>
      </c>
      <c r="H13">
        <f>0.9*F13*100/(0.9*F13+F14+F15+0.4*F16)</f>
        <v>93.141162766521916</v>
      </c>
    </row>
    <row r="14" spans="1:9" x14ac:dyDescent="0.35">
      <c r="E14" s="12" t="s">
        <v>257</v>
      </c>
      <c r="F14" s="32">
        <v>1.8429</v>
      </c>
    </row>
    <row r="15" spans="1:9" x14ac:dyDescent="0.35">
      <c r="E15" t="s">
        <v>258</v>
      </c>
      <c r="F15" s="33">
        <v>0.46574944099999999</v>
      </c>
    </row>
    <row r="16" spans="1:9" x14ac:dyDescent="0.35">
      <c r="E16" t="s">
        <v>259</v>
      </c>
      <c r="F16" s="34">
        <v>1.3978999999999999</v>
      </c>
    </row>
  </sheetData>
  <mergeCells count="6">
    <mergeCell ref="A9:G9"/>
    <mergeCell ref="A8:G8"/>
    <mergeCell ref="A3:A4"/>
    <mergeCell ref="I1:I6"/>
    <mergeCell ref="H1:H6"/>
    <mergeCell ref="A6:A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5a6c195-2872-47db-809a-d3bec3952dcc" xsi:nil="true"/>
    <lcf76f155ced4ddcb4097134ff3c332f xmlns="b5a6c195-2872-47db-809a-d3bec3952dcc">
      <Terms xmlns="http://schemas.microsoft.com/office/infopath/2007/PartnerControls"/>
    </lcf76f155ced4ddcb4097134ff3c332f>
    <TaxCatchAll xmlns="45753461-1ae8-40b2-bbe2-dcbf6a24c2d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9FE04B980D8194BAB8C56C7FBF2A34E" ma:contentTypeVersion="19" ma:contentTypeDescription="Skapa ett nytt dokument." ma:contentTypeScope="" ma:versionID="28e295d37329eb7f01e5116d1cfe96c5">
  <xsd:schema xmlns:xsd="http://www.w3.org/2001/XMLSchema" xmlns:xs="http://www.w3.org/2001/XMLSchema" xmlns:p="http://schemas.microsoft.com/office/2006/metadata/properties" xmlns:ns2="b5a6c195-2872-47db-809a-d3bec3952dcc" xmlns:ns3="45753461-1ae8-40b2-bbe2-dcbf6a24c2d6" targetNamespace="http://schemas.microsoft.com/office/2006/metadata/properties" ma:root="true" ma:fieldsID="b1dfc98d690e7c76b5236db2655a67c4" ns2:_="" ns3:_="">
    <xsd:import namespace="b5a6c195-2872-47db-809a-d3bec3952dcc"/>
    <xsd:import namespace="45753461-1ae8-40b2-bbe2-dcbf6a24c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6c195-2872-47db-809a-d3bec3952d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ildmarkeringar" ma:readOnly="false" ma:fieldId="{5cf76f15-5ced-4ddc-b409-7134ff3c332f}" ma:taxonomyMulti="true" ma:sspId="e27cd48f-d922-4674-b226-f55cd8f12e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Godkännandestatus" ma:internalName="Godk_x00e4_nnandestatus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53461-1ae8-40b2-bbe2-dcbf6a24c2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d3eac97-a87f-4397-a45b-bff8c0319491}" ma:internalName="TaxCatchAll" ma:showField="CatchAllData" ma:web="45753461-1ae8-40b2-bbe2-dcbf6a24c2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9D82F2-0E04-42B0-BDB8-8F95D86FB6B8}">
  <ds:schemaRefs>
    <ds:schemaRef ds:uri="http://schemas.microsoft.com/office/2006/metadata/properties"/>
    <ds:schemaRef ds:uri="http://schemas.microsoft.com/office/infopath/2007/PartnerControls"/>
    <ds:schemaRef ds:uri="b5a6c195-2872-47db-809a-d3bec3952dcc"/>
    <ds:schemaRef ds:uri="45753461-1ae8-40b2-bbe2-dcbf6a24c2d6"/>
  </ds:schemaRefs>
</ds:datastoreItem>
</file>

<file path=customXml/itemProps2.xml><?xml version="1.0" encoding="utf-8"?>
<ds:datastoreItem xmlns:ds="http://schemas.openxmlformats.org/officeDocument/2006/customXml" ds:itemID="{4433E52B-9189-4DBE-8C91-3977B61D9D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a6c195-2872-47db-809a-d3bec3952dcc"/>
    <ds:schemaRef ds:uri="45753461-1ae8-40b2-bbe2-dcbf6a24c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493200-EE28-4B14-A025-76B2D4C1AB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Coin half cell-data</vt:lpstr>
      <vt:lpstr>Constants</vt:lpstr>
      <vt:lpstr>Production-St.Recipe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Dagmawi Befikadu Gebrehiwot</dc:creator>
  <cp:keywords/>
  <dc:description/>
  <cp:lastModifiedBy>Andres Molina</cp:lastModifiedBy>
  <cp:revision/>
  <dcterms:created xsi:type="dcterms:W3CDTF">2025-04-29T13:50:43Z</dcterms:created>
  <dcterms:modified xsi:type="dcterms:W3CDTF">2026-01-27T11:05:07Z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0x01010099FE04B980D8194BAB8C56C7FBF2A34E</vt:lpwstr>
  </property>
  <property fmtid="{D5CDD505-2E9C-101B-9397-08002B2CF9AE}" pid="3" name="MediaServiceImageTags">
    <vt:lpwstr/>
  </property>
</Properties>
</file>